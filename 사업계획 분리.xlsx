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영우\OneDrive\Desktop\"/>
    </mc:Choice>
  </mc:AlternateContent>
  <xr:revisionPtr revIDLastSave="0" documentId="8_{3BBDA436-A068-4A72-B1EB-8F8F9E127BDE}" xr6:coauthVersionLast="47" xr6:coauthVersionMax="47" xr10:uidLastSave="{00000000-0000-0000-0000-000000000000}"/>
  <bookViews>
    <workbookView xWindow="19090" yWindow="-5570" windowWidth="38620" windowHeight="21100" xr2:uid="{CE418F6D-1E1D-434E-BD2B-213A56E0AB23}"/>
  </bookViews>
  <sheets>
    <sheet name="26년 월별 매출(사업계획)_1" sheetId="1" r:id="rId1"/>
  </sheets>
  <definedNames>
    <definedName name="_xlnm.Print_Area" localSheetId="0">'26년 월별 매출(사업계획)_1'!$A$1:$Y$331</definedName>
    <definedName name="_xlnm.Print_Titles" localSheetId="0">'26년 월별 매출(사업계획)_1'!$2:$4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9" i="1" l="1"/>
  <c r="G353" i="1"/>
  <c r="Z339" i="1"/>
  <c r="AB338" i="1"/>
  <c r="Z338" i="1"/>
  <c r="K338" i="1"/>
  <c r="AB337" i="1"/>
  <c r="Z337" i="1"/>
  <c r="AB336" i="1"/>
  <c r="Z336" i="1"/>
  <c r="AB335" i="1"/>
  <c r="Z335" i="1"/>
  <c r="AB310" i="1"/>
  <c r="Z310" i="1"/>
  <c r="W310" i="1"/>
  <c r="W338" i="1" s="1"/>
  <c r="V310" i="1"/>
  <c r="V338" i="1" s="1"/>
  <c r="U310" i="1"/>
  <c r="U338" i="1" s="1"/>
  <c r="R310" i="1"/>
  <c r="R338" i="1" s="1"/>
  <c r="AD309" i="1"/>
  <c r="AB309" i="1"/>
  <c r="Z309" i="1"/>
  <c r="X309" i="1"/>
  <c r="X337" i="1" s="1"/>
  <c r="W309" i="1"/>
  <c r="W337" i="1" s="1"/>
  <c r="V309" i="1"/>
  <c r="V337" i="1" s="1"/>
  <c r="U309" i="1"/>
  <c r="U337" i="1" s="1"/>
  <c r="T309" i="1"/>
  <c r="T337" i="1" s="1"/>
  <c r="S309" i="1"/>
  <c r="S337" i="1" s="1"/>
  <c r="R309" i="1"/>
  <c r="R337" i="1" s="1"/>
  <c r="Q309" i="1"/>
  <c r="Q337" i="1" s="1"/>
  <c r="P309" i="1"/>
  <c r="P337" i="1" s="1"/>
  <c r="N309" i="1"/>
  <c r="N337" i="1" s="1"/>
  <c r="M309" i="1"/>
  <c r="M337" i="1" s="1"/>
  <c r="L309" i="1"/>
  <c r="L337" i="1" s="1"/>
  <c r="K309" i="1"/>
  <c r="K337" i="1" s="1"/>
  <c r="J309" i="1"/>
  <c r="J337" i="1" s="1"/>
  <c r="I309" i="1"/>
  <c r="I337" i="1" s="1"/>
  <c r="H309" i="1"/>
  <c r="H337" i="1" s="1"/>
  <c r="G309" i="1"/>
  <c r="G337" i="1" s="1"/>
  <c r="F309" i="1"/>
  <c r="F337" i="1" s="1"/>
  <c r="E309" i="1"/>
  <c r="E337" i="1" s="1"/>
  <c r="D309" i="1"/>
  <c r="D337" i="1" s="1"/>
  <c r="AD308" i="1"/>
  <c r="AB308" i="1"/>
  <c r="Z308" i="1"/>
  <c r="W308" i="1"/>
  <c r="W336" i="1" s="1"/>
  <c r="V308" i="1"/>
  <c r="V336" i="1" s="1"/>
  <c r="U308" i="1"/>
  <c r="U336" i="1" s="1"/>
  <c r="T308" i="1"/>
  <c r="T336" i="1" s="1"/>
  <c r="S308" i="1"/>
  <c r="S336" i="1" s="1"/>
  <c r="R308" i="1"/>
  <c r="R336" i="1" s="1"/>
  <c r="Q308" i="1"/>
  <c r="Q336" i="1" s="1"/>
  <c r="P308" i="1"/>
  <c r="P336" i="1" s="1"/>
  <c r="N308" i="1"/>
  <c r="N336" i="1" s="1"/>
  <c r="M308" i="1"/>
  <c r="M336" i="1" s="1"/>
  <c r="L308" i="1"/>
  <c r="L336" i="1" s="1"/>
  <c r="K308" i="1"/>
  <c r="K336" i="1" s="1"/>
  <c r="J308" i="1"/>
  <c r="J336" i="1" s="1"/>
  <c r="I308" i="1"/>
  <c r="I336" i="1" s="1"/>
  <c r="H308" i="1"/>
  <c r="H336" i="1" s="1"/>
  <c r="G308" i="1"/>
  <c r="G336" i="1" s="1"/>
  <c r="F308" i="1"/>
  <c r="F336" i="1" s="1"/>
  <c r="E308" i="1"/>
  <c r="C308" i="1" s="1"/>
  <c r="D308" i="1"/>
  <c r="D336" i="1" s="1"/>
  <c r="AD307" i="1"/>
  <c r="AB307" i="1"/>
  <c r="Z307" i="1"/>
  <c r="W307" i="1"/>
  <c r="W335" i="1" s="1"/>
  <c r="V307" i="1"/>
  <c r="V335" i="1" s="1"/>
  <c r="U307" i="1"/>
  <c r="U335" i="1" s="1"/>
  <c r="T307" i="1"/>
  <c r="T335" i="1" s="1"/>
  <c r="S307" i="1"/>
  <c r="S335" i="1" s="1"/>
  <c r="R307" i="1"/>
  <c r="R335" i="1" s="1"/>
  <c r="Q307" i="1"/>
  <c r="Q335" i="1" s="1"/>
  <c r="P307" i="1"/>
  <c r="P335" i="1" s="1"/>
  <c r="N307" i="1"/>
  <c r="N335" i="1" s="1"/>
  <c r="M307" i="1"/>
  <c r="M335" i="1" s="1"/>
  <c r="L307" i="1"/>
  <c r="L335" i="1" s="1"/>
  <c r="K307" i="1"/>
  <c r="K335" i="1" s="1"/>
  <c r="J307" i="1"/>
  <c r="J335" i="1" s="1"/>
  <c r="I307" i="1"/>
  <c r="I335" i="1" s="1"/>
  <c r="H307" i="1"/>
  <c r="H335" i="1" s="1"/>
  <c r="G307" i="1"/>
  <c r="G335" i="1" s="1"/>
  <c r="F307" i="1"/>
  <c r="F335" i="1" s="1"/>
  <c r="E307" i="1"/>
  <c r="E335" i="1" s="1"/>
  <c r="D307" i="1"/>
  <c r="D335" i="1" s="1"/>
  <c r="AD306" i="1"/>
  <c r="W306" i="1"/>
  <c r="W334" i="1" s="1"/>
  <c r="V306" i="1"/>
  <c r="V334" i="1" s="1"/>
  <c r="U306" i="1"/>
  <c r="U334" i="1" s="1"/>
  <c r="T306" i="1"/>
  <c r="T334" i="1" s="1"/>
  <c r="S306" i="1"/>
  <c r="S334" i="1" s="1"/>
  <c r="R306" i="1"/>
  <c r="R334" i="1" s="1"/>
  <c r="Q306" i="1"/>
  <c r="Q334" i="1" s="1"/>
  <c r="P306" i="1"/>
  <c r="P334" i="1" s="1"/>
  <c r="N306" i="1"/>
  <c r="N334" i="1" s="1"/>
  <c r="M306" i="1"/>
  <c r="M334" i="1" s="1"/>
  <c r="L306" i="1"/>
  <c r="L334" i="1" s="1"/>
  <c r="K306" i="1"/>
  <c r="K334" i="1" s="1"/>
  <c r="J306" i="1"/>
  <c r="J334" i="1" s="1"/>
  <c r="I306" i="1"/>
  <c r="I334" i="1" s="1"/>
  <c r="H306" i="1"/>
  <c r="H334" i="1" s="1"/>
  <c r="G306" i="1"/>
  <c r="G334" i="1" s="1"/>
  <c r="F306" i="1"/>
  <c r="F334" i="1" s="1"/>
  <c r="E306" i="1"/>
  <c r="E334" i="1" s="1"/>
  <c r="D306" i="1"/>
  <c r="D334" i="1" s="1"/>
  <c r="AD305" i="1"/>
  <c r="W305" i="1"/>
  <c r="W333" i="1" s="1"/>
  <c r="V305" i="1"/>
  <c r="V333" i="1" s="1"/>
  <c r="U305" i="1"/>
  <c r="U333" i="1" s="1"/>
  <c r="T305" i="1"/>
  <c r="T333" i="1" s="1"/>
  <c r="S305" i="1"/>
  <c r="S333" i="1" s="1"/>
  <c r="R305" i="1"/>
  <c r="R333" i="1" s="1"/>
  <c r="Q305" i="1"/>
  <c r="Q333" i="1" s="1"/>
  <c r="P305" i="1"/>
  <c r="P333" i="1" s="1"/>
  <c r="N305" i="1"/>
  <c r="N333" i="1" s="1"/>
  <c r="M305" i="1"/>
  <c r="M333" i="1" s="1"/>
  <c r="L305" i="1"/>
  <c r="L333" i="1" s="1"/>
  <c r="K305" i="1"/>
  <c r="K333" i="1" s="1"/>
  <c r="J305" i="1"/>
  <c r="J333" i="1" s="1"/>
  <c r="I305" i="1"/>
  <c r="I333" i="1" s="1"/>
  <c r="H305" i="1"/>
  <c r="H333" i="1" s="1"/>
  <c r="G305" i="1"/>
  <c r="G333" i="1" s="1"/>
  <c r="F305" i="1"/>
  <c r="F333" i="1" s="1"/>
  <c r="E305" i="1"/>
  <c r="E333" i="1" s="1"/>
  <c r="D305" i="1"/>
  <c r="D333" i="1" s="1"/>
  <c r="V304" i="1"/>
  <c r="V303" i="1"/>
  <c r="V302" i="1"/>
  <c r="V301" i="1"/>
  <c r="R301" i="1"/>
  <c r="N301" i="1"/>
  <c r="J301" i="1"/>
  <c r="F301" i="1"/>
  <c r="X300" i="1"/>
  <c r="W300" i="1"/>
  <c r="V300" i="1"/>
  <c r="U300" i="1"/>
  <c r="R300" i="1"/>
  <c r="P300" i="1"/>
  <c r="L300" i="1"/>
  <c r="K300" i="1"/>
  <c r="W299" i="1"/>
  <c r="V299" i="1"/>
  <c r="U299" i="1"/>
  <c r="R299" i="1"/>
  <c r="K299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 s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 s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 s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 s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 s="1"/>
  <c r="W288" i="1"/>
  <c r="W304" i="1" s="1"/>
  <c r="R288" i="1"/>
  <c r="P288" i="1"/>
  <c r="P303" i="1" s="1"/>
  <c r="J288" i="1"/>
  <c r="I288" i="1"/>
  <c r="I303" i="1" s="1"/>
  <c r="F288" i="1"/>
  <c r="C287" i="1"/>
  <c r="X288" i="1"/>
  <c r="W302" i="1"/>
  <c r="S302" i="1"/>
  <c r="R302" i="1"/>
  <c r="O302" i="1"/>
  <c r="N302" i="1"/>
  <c r="K302" i="1"/>
  <c r="J302" i="1"/>
  <c r="G302" i="1"/>
  <c r="F302" i="1"/>
  <c r="X299" i="1"/>
  <c r="Z286" i="1"/>
  <c r="Q299" i="1"/>
  <c r="P299" i="1"/>
  <c r="M299" i="1"/>
  <c r="L299" i="1"/>
  <c r="H299" i="1"/>
  <c r="G300" i="1"/>
  <c r="C285" i="1"/>
  <c r="C284" i="1"/>
  <c r="C283" i="1"/>
  <c r="AB282" i="1"/>
  <c r="Z282" i="1"/>
  <c r="C282" i="1"/>
  <c r="AA282" i="1" s="1"/>
  <c r="C281" i="1"/>
  <c r="C280" i="1"/>
  <c r="W279" i="1"/>
  <c r="V279" i="1"/>
  <c r="V278" i="1"/>
  <c r="J278" i="1"/>
  <c r="I278" i="1"/>
  <c r="V277" i="1"/>
  <c r="P277" i="1"/>
  <c r="K277" i="1"/>
  <c r="F277" i="1"/>
  <c r="V276" i="1"/>
  <c r="L276" i="1"/>
  <c r="F276" i="1"/>
  <c r="W275" i="1"/>
  <c r="V275" i="1"/>
  <c r="U275" i="1"/>
  <c r="S275" i="1"/>
  <c r="R275" i="1"/>
  <c r="N275" i="1"/>
  <c r="K275" i="1"/>
  <c r="H275" i="1"/>
  <c r="W274" i="1"/>
  <c r="V274" i="1"/>
  <c r="U274" i="1"/>
  <c r="R274" i="1"/>
  <c r="P274" i="1"/>
  <c r="K274" i="1"/>
  <c r="F274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 s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 s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X263" i="1"/>
  <c r="X278" i="1" s="1"/>
  <c r="W263" i="1"/>
  <c r="W278" i="1" s="1"/>
  <c r="P263" i="1"/>
  <c r="P278" i="1" s="1"/>
  <c r="O263" i="1"/>
  <c r="O278" i="1" s="1"/>
  <c r="K263" i="1"/>
  <c r="J263" i="1"/>
  <c r="J279" i="1" s="1"/>
  <c r="I263" i="1"/>
  <c r="I279" i="1" s="1"/>
  <c r="G263" i="1"/>
  <c r="F263" i="1"/>
  <c r="F279" i="1" s="1"/>
  <c r="C262" i="1"/>
  <c r="X277" i="1"/>
  <c r="W276" i="1"/>
  <c r="T277" i="1"/>
  <c r="S276" i="1"/>
  <c r="R277" i="1"/>
  <c r="Q277" i="1"/>
  <c r="P276" i="1"/>
  <c r="O276" i="1"/>
  <c r="N277" i="1"/>
  <c r="L277" i="1"/>
  <c r="K276" i="1"/>
  <c r="J277" i="1"/>
  <c r="H277" i="1"/>
  <c r="G276" i="1"/>
  <c r="D277" i="1"/>
  <c r="X274" i="1"/>
  <c r="S274" i="1"/>
  <c r="Q275" i="1"/>
  <c r="P275" i="1"/>
  <c r="N274" i="1"/>
  <c r="M275" i="1"/>
  <c r="L275" i="1"/>
  <c r="I275" i="1"/>
  <c r="H274" i="1"/>
  <c r="G274" i="1"/>
  <c r="F275" i="1"/>
  <c r="E275" i="1"/>
  <c r="D274" i="1"/>
  <c r="C259" i="1"/>
  <c r="C258" i="1"/>
  <c r="AB257" i="1"/>
  <c r="Z257" i="1"/>
  <c r="C257" i="1"/>
  <c r="AA257" i="1" s="1"/>
  <c r="C256" i="1"/>
  <c r="C255" i="1"/>
  <c r="X254" i="1"/>
  <c r="V254" i="1"/>
  <c r="L254" i="1"/>
  <c r="H254" i="1"/>
  <c r="V253" i="1"/>
  <c r="X252" i="1"/>
  <c r="V252" i="1"/>
  <c r="T252" i="1"/>
  <c r="P252" i="1"/>
  <c r="L252" i="1"/>
  <c r="H252" i="1"/>
  <c r="D252" i="1"/>
  <c r="V251" i="1"/>
  <c r="R251" i="1"/>
  <c r="N251" i="1"/>
  <c r="X250" i="1"/>
  <c r="W250" i="1"/>
  <c r="V250" i="1"/>
  <c r="U250" i="1"/>
  <c r="T250" i="1"/>
  <c r="R250" i="1"/>
  <c r="K250" i="1"/>
  <c r="H250" i="1"/>
  <c r="D250" i="1"/>
  <c r="W249" i="1"/>
  <c r="V249" i="1"/>
  <c r="U249" i="1"/>
  <c r="R249" i="1"/>
  <c r="N249" i="1"/>
  <c r="K249" i="1"/>
  <c r="J249" i="1"/>
  <c r="F249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C245" i="1" s="1"/>
  <c r="D245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C241" i="1" s="1"/>
  <c r="D241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AA238" i="1"/>
  <c r="X238" i="1"/>
  <c r="X253" i="1" s="1"/>
  <c r="T238" i="1"/>
  <c r="T253" i="1" s="1"/>
  <c r="S238" i="1"/>
  <c r="S254" i="1" s="1"/>
  <c r="P238" i="1"/>
  <c r="O238" i="1"/>
  <c r="O254" i="1" s="1"/>
  <c r="L238" i="1"/>
  <c r="L253" i="1" s="1"/>
  <c r="K238" i="1"/>
  <c r="K254" i="1" s="1"/>
  <c r="I238" i="1"/>
  <c r="I253" i="1" s="1"/>
  <c r="H238" i="1"/>
  <c r="H253" i="1" s="1"/>
  <c r="G238" i="1"/>
  <c r="G254" i="1" s="1"/>
  <c r="D238" i="1"/>
  <c r="C237" i="1"/>
  <c r="X251" i="1"/>
  <c r="U251" i="1"/>
  <c r="T251" i="1"/>
  <c r="S252" i="1"/>
  <c r="Q251" i="1"/>
  <c r="P251" i="1"/>
  <c r="O252" i="1"/>
  <c r="M251" i="1"/>
  <c r="L251" i="1"/>
  <c r="K252" i="1"/>
  <c r="J252" i="1"/>
  <c r="I251" i="1"/>
  <c r="H251" i="1"/>
  <c r="G252" i="1"/>
  <c r="E251" i="1"/>
  <c r="D251" i="1"/>
  <c r="X249" i="1"/>
  <c r="T249" i="1"/>
  <c r="S250" i="1"/>
  <c r="Q249" i="1"/>
  <c r="P249" i="1"/>
  <c r="O250" i="1"/>
  <c r="N250" i="1"/>
  <c r="M249" i="1"/>
  <c r="L249" i="1"/>
  <c r="J250" i="1"/>
  <c r="I249" i="1"/>
  <c r="H249" i="1"/>
  <c r="F250" i="1"/>
  <c r="E249" i="1"/>
  <c r="D249" i="1"/>
  <c r="C235" i="1"/>
  <c r="C234" i="1"/>
  <c r="C233" i="1"/>
  <c r="AB232" i="1"/>
  <c r="AA232" i="1"/>
  <c r="Z232" i="1"/>
  <c r="C232" i="1"/>
  <c r="C231" i="1"/>
  <c r="C230" i="1"/>
  <c r="V229" i="1"/>
  <c r="U229" i="1"/>
  <c r="Q229" i="1"/>
  <c r="M229" i="1"/>
  <c r="I229" i="1"/>
  <c r="E229" i="1"/>
  <c r="V228" i="1"/>
  <c r="U228" i="1"/>
  <c r="O228" i="1"/>
  <c r="V227" i="1"/>
  <c r="U227" i="1"/>
  <c r="Q227" i="1"/>
  <c r="M227" i="1"/>
  <c r="I227" i="1"/>
  <c r="E227" i="1"/>
  <c r="V226" i="1"/>
  <c r="S226" i="1"/>
  <c r="G226" i="1"/>
  <c r="W225" i="1"/>
  <c r="V225" i="1"/>
  <c r="U225" i="1"/>
  <c r="R225" i="1"/>
  <c r="K225" i="1"/>
  <c r="I225" i="1"/>
  <c r="E225" i="1"/>
  <c r="W224" i="1"/>
  <c r="V224" i="1"/>
  <c r="U224" i="1"/>
  <c r="S224" i="1"/>
  <c r="R224" i="1"/>
  <c r="O224" i="1"/>
  <c r="K224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C222" i="1" s="1"/>
  <c r="D222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 s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C216" i="1" s="1"/>
  <c r="E216" i="1"/>
  <c r="D216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 s="1"/>
  <c r="T213" i="1"/>
  <c r="S213" i="1"/>
  <c r="Q213" i="1"/>
  <c r="Q228" i="1" s="1"/>
  <c r="P213" i="1"/>
  <c r="O213" i="1"/>
  <c r="O229" i="1" s="1"/>
  <c r="M213" i="1"/>
  <c r="M228" i="1" s="1"/>
  <c r="L213" i="1"/>
  <c r="I213" i="1"/>
  <c r="I228" i="1" s="1"/>
  <c r="H213" i="1"/>
  <c r="G213" i="1"/>
  <c r="G229" i="1" s="1"/>
  <c r="E213" i="1"/>
  <c r="E228" i="1" s="1"/>
  <c r="D213" i="1"/>
  <c r="U226" i="1"/>
  <c r="T227" i="1"/>
  <c r="S227" i="1"/>
  <c r="Q226" i="1"/>
  <c r="P227" i="1"/>
  <c r="O227" i="1"/>
  <c r="M226" i="1"/>
  <c r="L227" i="1"/>
  <c r="K227" i="1"/>
  <c r="I226" i="1"/>
  <c r="H227" i="1"/>
  <c r="G227" i="1"/>
  <c r="E226" i="1"/>
  <c r="D227" i="1"/>
  <c r="T225" i="1"/>
  <c r="S225" i="1"/>
  <c r="Q224" i="1"/>
  <c r="O225" i="1"/>
  <c r="N224" i="1"/>
  <c r="M224" i="1"/>
  <c r="J224" i="1"/>
  <c r="I224" i="1"/>
  <c r="G225" i="1"/>
  <c r="F224" i="1"/>
  <c r="E224" i="1"/>
  <c r="C210" i="1"/>
  <c r="C209" i="1"/>
  <c r="C208" i="1"/>
  <c r="AB207" i="1"/>
  <c r="AA207" i="1"/>
  <c r="Z207" i="1"/>
  <c r="C207" i="1"/>
  <c r="C206" i="1"/>
  <c r="C205" i="1"/>
  <c r="V204" i="1"/>
  <c r="F204" i="1"/>
  <c r="R202" i="1"/>
  <c r="J202" i="1"/>
  <c r="S201" i="1"/>
  <c r="P201" i="1"/>
  <c r="V200" i="1"/>
  <c r="F200" i="1"/>
  <c r="W199" i="1"/>
  <c r="M199" i="1"/>
  <c r="H199" i="1"/>
  <c r="S198" i="1"/>
  <c r="O198" i="1"/>
  <c r="N198" i="1"/>
  <c r="J198" i="1"/>
  <c r="I198" i="1"/>
  <c r="O197" i="1"/>
  <c r="K197" i="1"/>
  <c r="I197" i="1"/>
  <c r="V196" i="1"/>
  <c r="U196" i="1"/>
  <c r="O196" i="1"/>
  <c r="N196" i="1"/>
  <c r="K196" i="1"/>
  <c r="J196" i="1"/>
  <c r="F196" i="1"/>
  <c r="E196" i="1"/>
  <c r="W195" i="1"/>
  <c r="U195" i="1"/>
  <c r="K195" i="1"/>
  <c r="G195" i="1"/>
  <c r="E195" i="1"/>
  <c r="W194" i="1"/>
  <c r="V194" i="1"/>
  <c r="R194" i="1"/>
  <c r="Q194" i="1"/>
  <c r="K194" i="1"/>
  <c r="J194" i="1"/>
  <c r="G194" i="1"/>
  <c r="F194" i="1"/>
  <c r="W193" i="1"/>
  <c r="S193" i="1"/>
  <c r="Q193" i="1"/>
  <c r="G193" i="1"/>
  <c r="W192" i="1"/>
  <c r="V192" i="1"/>
  <c r="S192" i="1"/>
  <c r="R192" i="1"/>
  <c r="O192" i="1"/>
  <c r="N192" i="1"/>
  <c r="K192" i="1"/>
  <c r="J192" i="1"/>
  <c r="G192" i="1"/>
  <c r="F192" i="1"/>
  <c r="V191" i="1"/>
  <c r="U191" i="1"/>
  <c r="R191" i="1"/>
  <c r="Q191" i="1"/>
  <c r="N191" i="1"/>
  <c r="M191" i="1"/>
  <c r="J191" i="1"/>
  <c r="I191" i="1"/>
  <c r="F191" i="1"/>
  <c r="E191" i="1"/>
  <c r="W190" i="1"/>
  <c r="V190" i="1"/>
  <c r="S190" i="1"/>
  <c r="R190" i="1"/>
  <c r="O190" i="1"/>
  <c r="N190" i="1"/>
  <c r="K190" i="1"/>
  <c r="J190" i="1"/>
  <c r="G190" i="1"/>
  <c r="F190" i="1"/>
  <c r="V189" i="1"/>
  <c r="U189" i="1"/>
  <c r="R189" i="1"/>
  <c r="Q189" i="1"/>
  <c r="N189" i="1"/>
  <c r="M189" i="1"/>
  <c r="J189" i="1"/>
  <c r="I189" i="1"/>
  <c r="F189" i="1"/>
  <c r="E189" i="1"/>
  <c r="X188" i="1"/>
  <c r="T188" i="1"/>
  <c r="S188" i="1"/>
  <c r="O188" i="1"/>
  <c r="N188" i="1"/>
  <c r="N204" i="1" s="1"/>
  <c r="K188" i="1"/>
  <c r="J188" i="1"/>
  <c r="I188" i="1"/>
  <c r="G188" i="1"/>
  <c r="F188" i="1"/>
  <c r="W197" i="1"/>
  <c r="S195" i="1"/>
  <c r="O193" i="1"/>
  <c r="K199" i="1"/>
  <c r="G197" i="1"/>
  <c r="W188" i="1"/>
  <c r="U188" i="1"/>
  <c r="Q188" i="1" s="1"/>
  <c r="P188" i="1"/>
  <c r="M188" i="1"/>
  <c r="L188" i="1"/>
  <c r="K201" i="1"/>
  <c r="H188" i="1"/>
  <c r="E188" i="1"/>
  <c r="O199" i="1"/>
  <c r="N200" i="1"/>
  <c r="C184" i="1"/>
  <c r="C183" i="1"/>
  <c r="AB182" i="1"/>
  <c r="Z182" i="1"/>
  <c r="C182" i="1"/>
  <c r="AA182" i="1" s="1"/>
  <c r="C181" i="1"/>
  <c r="C180" i="1"/>
  <c r="S179" i="1"/>
  <c r="K179" i="1"/>
  <c r="V178" i="1"/>
  <c r="R178" i="1"/>
  <c r="Q178" i="1"/>
  <c r="W177" i="1"/>
  <c r="S177" i="1"/>
  <c r="O177" i="1"/>
  <c r="K177" i="1"/>
  <c r="G177" i="1"/>
  <c r="V176" i="1"/>
  <c r="R176" i="1"/>
  <c r="N176" i="1"/>
  <c r="J176" i="1"/>
  <c r="F176" i="1"/>
  <c r="W175" i="1"/>
  <c r="K175" i="1"/>
  <c r="G175" i="1"/>
  <c r="V174" i="1"/>
  <c r="R174" i="1"/>
  <c r="E174" i="1"/>
  <c r="W173" i="1"/>
  <c r="S173" i="1"/>
  <c r="O173" i="1"/>
  <c r="K173" i="1"/>
  <c r="G173" i="1"/>
  <c r="V172" i="1"/>
  <c r="U172" i="1"/>
  <c r="R172" i="1"/>
  <c r="N172" i="1"/>
  <c r="M172" i="1"/>
  <c r="J172" i="1"/>
  <c r="F172" i="1"/>
  <c r="E172" i="1"/>
  <c r="W171" i="1"/>
  <c r="V171" i="1"/>
  <c r="S171" i="1"/>
  <c r="R171" i="1"/>
  <c r="O171" i="1"/>
  <c r="N171" i="1"/>
  <c r="K171" i="1"/>
  <c r="J171" i="1"/>
  <c r="G171" i="1"/>
  <c r="F171" i="1"/>
  <c r="V170" i="1"/>
  <c r="R170" i="1"/>
  <c r="N170" i="1"/>
  <c r="J170" i="1"/>
  <c r="F170" i="1"/>
  <c r="X169" i="1"/>
  <c r="W169" i="1"/>
  <c r="V169" i="1"/>
  <c r="S169" i="1"/>
  <c r="R169" i="1"/>
  <c r="P169" i="1"/>
  <c r="O169" i="1"/>
  <c r="N169" i="1"/>
  <c r="K169" i="1"/>
  <c r="J169" i="1"/>
  <c r="H169" i="1"/>
  <c r="G169" i="1"/>
  <c r="F169" i="1"/>
  <c r="V168" i="1"/>
  <c r="U168" i="1"/>
  <c r="R168" i="1"/>
  <c r="N168" i="1"/>
  <c r="M168" i="1"/>
  <c r="J168" i="1"/>
  <c r="F168" i="1"/>
  <c r="E168" i="1"/>
  <c r="W167" i="1"/>
  <c r="V167" i="1"/>
  <c r="T167" i="1"/>
  <c r="S167" i="1"/>
  <c r="R167" i="1"/>
  <c r="O167" i="1"/>
  <c r="N167" i="1"/>
  <c r="L167" i="1"/>
  <c r="K167" i="1"/>
  <c r="J167" i="1"/>
  <c r="G167" i="1"/>
  <c r="F167" i="1"/>
  <c r="D167" i="1"/>
  <c r="V166" i="1"/>
  <c r="R166" i="1"/>
  <c r="N166" i="1"/>
  <c r="J166" i="1"/>
  <c r="F166" i="1"/>
  <c r="X165" i="1"/>
  <c r="W165" i="1"/>
  <c r="V165" i="1"/>
  <c r="S165" i="1"/>
  <c r="R165" i="1"/>
  <c r="P165" i="1"/>
  <c r="O165" i="1"/>
  <c r="N165" i="1"/>
  <c r="K165" i="1"/>
  <c r="J165" i="1"/>
  <c r="H165" i="1"/>
  <c r="G165" i="1"/>
  <c r="F165" i="1"/>
  <c r="V164" i="1"/>
  <c r="R164" i="1"/>
  <c r="Q164" i="1"/>
  <c r="N164" i="1"/>
  <c r="J164" i="1"/>
  <c r="I164" i="1"/>
  <c r="F164" i="1"/>
  <c r="X163" i="1"/>
  <c r="S163" i="1"/>
  <c r="O163" i="1"/>
  <c r="O179" i="1" s="1"/>
  <c r="N163" i="1"/>
  <c r="N178" i="1" s="1"/>
  <c r="K163" i="1"/>
  <c r="J163" i="1"/>
  <c r="J178" i="1" s="1"/>
  <c r="I163" i="1"/>
  <c r="G163" i="1"/>
  <c r="G179" i="1" s="1"/>
  <c r="F163" i="1"/>
  <c r="F178" i="1" s="1"/>
  <c r="W178" i="1"/>
  <c r="V179" i="1"/>
  <c r="U176" i="1"/>
  <c r="S178" i="1"/>
  <c r="R179" i="1"/>
  <c r="Q170" i="1"/>
  <c r="O178" i="1"/>
  <c r="M176" i="1"/>
  <c r="K178" i="1"/>
  <c r="I174" i="1"/>
  <c r="F179" i="1"/>
  <c r="E178" i="1"/>
  <c r="W163" i="1"/>
  <c r="W179" i="1" s="1"/>
  <c r="U163" i="1"/>
  <c r="Q163" i="1" s="1"/>
  <c r="P163" i="1"/>
  <c r="M163" i="1"/>
  <c r="L163" i="1"/>
  <c r="H163" i="1"/>
  <c r="E163" i="1"/>
  <c r="T163" i="1"/>
  <c r="S175" i="1"/>
  <c r="O175" i="1"/>
  <c r="N174" i="1"/>
  <c r="J174" i="1"/>
  <c r="F174" i="1"/>
  <c r="C159" i="1"/>
  <c r="C158" i="1"/>
  <c r="AB157" i="1"/>
  <c r="Z157" i="1"/>
  <c r="C157" i="1"/>
  <c r="AA157" i="1" s="1"/>
  <c r="C156" i="1"/>
  <c r="C155" i="1"/>
  <c r="T154" i="1"/>
  <c r="V153" i="1"/>
  <c r="R153" i="1"/>
  <c r="J153" i="1"/>
  <c r="X152" i="1"/>
  <c r="T152" i="1"/>
  <c r="H152" i="1"/>
  <c r="V151" i="1"/>
  <c r="R151" i="1"/>
  <c r="N151" i="1"/>
  <c r="F151" i="1"/>
  <c r="T150" i="1"/>
  <c r="R150" i="1"/>
  <c r="J150" i="1"/>
  <c r="D150" i="1"/>
  <c r="U149" i="1"/>
  <c r="R149" i="1"/>
  <c r="P149" i="1"/>
  <c r="J149" i="1"/>
  <c r="H149" i="1"/>
  <c r="X148" i="1"/>
  <c r="V148" i="1"/>
  <c r="P148" i="1"/>
  <c r="N148" i="1"/>
  <c r="K148" i="1"/>
  <c r="H148" i="1"/>
  <c r="F148" i="1"/>
  <c r="V147" i="1"/>
  <c r="T147" i="1"/>
  <c r="N147" i="1"/>
  <c r="L147" i="1"/>
  <c r="F147" i="1"/>
  <c r="D147" i="1"/>
  <c r="T146" i="1"/>
  <c r="R146" i="1"/>
  <c r="I146" i="1"/>
  <c r="E146" i="1"/>
  <c r="W145" i="1"/>
  <c r="G145" i="1"/>
  <c r="U144" i="1"/>
  <c r="Q144" i="1"/>
  <c r="M144" i="1"/>
  <c r="E144" i="1"/>
  <c r="S143" i="1"/>
  <c r="Q142" i="1"/>
  <c r="M142" i="1"/>
  <c r="I142" i="1"/>
  <c r="O141" i="1"/>
  <c r="W140" i="1"/>
  <c r="Q140" i="1"/>
  <c r="O140" i="1"/>
  <c r="I140" i="1"/>
  <c r="G140" i="1"/>
  <c r="X139" i="1"/>
  <c r="W139" i="1"/>
  <c r="T139" i="1"/>
  <c r="Q139" i="1"/>
  <c r="P139" i="1"/>
  <c r="M139" i="1"/>
  <c r="L139" i="1"/>
  <c r="I139" i="1"/>
  <c r="H139" i="1"/>
  <c r="G139" i="1"/>
  <c r="D139" i="1"/>
  <c r="X138" i="1"/>
  <c r="X154" i="1" s="1"/>
  <c r="T138" i="1"/>
  <c r="O138" i="1"/>
  <c r="M138" i="1"/>
  <c r="K138" i="1"/>
  <c r="I138" i="1"/>
  <c r="J138" i="1" s="1"/>
  <c r="G138" i="1"/>
  <c r="E138" i="1"/>
  <c r="X147" i="1"/>
  <c r="T145" i="1"/>
  <c r="H147" i="1"/>
  <c r="D145" i="1"/>
  <c r="C137" i="1"/>
  <c r="U138" i="1"/>
  <c r="Q138" i="1" s="1"/>
  <c r="S138" i="1"/>
  <c r="P138" i="1"/>
  <c r="P154" i="1" s="1"/>
  <c r="N138" i="1"/>
  <c r="N153" i="1" s="1"/>
  <c r="J151" i="1"/>
  <c r="H138" i="1"/>
  <c r="H154" i="1" s="1"/>
  <c r="F138" i="1"/>
  <c r="F153" i="1" s="1"/>
  <c r="L150" i="1"/>
  <c r="E149" i="1"/>
  <c r="C135" i="1"/>
  <c r="C134" i="1"/>
  <c r="C133" i="1"/>
  <c r="AB132" i="1"/>
  <c r="AA132" i="1"/>
  <c r="Z132" i="1"/>
  <c r="C132" i="1"/>
  <c r="C131" i="1"/>
  <c r="C130" i="1"/>
  <c r="I129" i="1"/>
  <c r="W128" i="1"/>
  <c r="U127" i="1"/>
  <c r="K126" i="1"/>
  <c r="Q125" i="1"/>
  <c r="W124" i="1"/>
  <c r="O124" i="1"/>
  <c r="M123" i="1"/>
  <c r="S122" i="1"/>
  <c r="K122" i="1"/>
  <c r="I121" i="1"/>
  <c r="W120" i="1"/>
  <c r="O120" i="1"/>
  <c r="G120" i="1"/>
  <c r="U119" i="1"/>
  <c r="E119" i="1"/>
  <c r="S118" i="1"/>
  <c r="K118" i="1"/>
  <c r="R117" i="1"/>
  <c r="G117" i="1"/>
  <c r="X116" i="1"/>
  <c r="T116" i="1"/>
  <c r="S116" i="1"/>
  <c r="P116" i="1"/>
  <c r="H116" i="1"/>
  <c r="D116" i="1"/>
  <c r="Q115" i="1"/>
  <c r="I115" i="1"/>
  <c r="X114" i="1"/>
  <c r="W114" i="1"/>
  <c r="T114" i="1"/>
  <c r="S114" i="1"/>
  <c r="P114" i="1"/>
  <c r="O114" i="1"/>
  <c r="L114" i="1"/>
  <c r="K114" i="1"/>
  <c r="H114" i="1"/>
  <c r="G114" i="1"/>
  <c r="D114" i="1"/>
  <c r="T113" i="1"/>
  <c r="O113" i="1"/>
  <c r="O128" i="1" s="1"/>
  <c r="M113" i="1"/>
  <c r="K113" i="1"/>
  <c r="I113" i="1"/>
  <c r="J113" i="1" s="1"/>
  <c r="G113" i="1"/>
  <c r="G128" i="1" s="1"/>
  <c r="E113" i="1"/>
  <c r="W129" i="1"/>
  <c r="O129" i="1"/>
  <c r="K127" i="1"/>
  <c r="G129" i="1"/>
  <c r="X113" i="1"/>
  <c r="U113" i="1"/>
  <c r="Q113" i="1" s="1"/>
  <c r="S113" i="1"/>
  <c r="P113" i="1"/>
  <c r="N113" i="1"/>
  <c r="L113" i="1"/>
  <c r="H113" i="1"/>
  <c r="F113" i="1"/>
  <c r="D113" i="1"/>
  <c r="AA113" i="1" s="1"/>
  <c r="O310" i="1"/>
  <c r="G124" i="1"/>
  <c r="C110" i="1"/>
  <c r="C109" i="1"/>
  <c r="C108" i="1"/>
  <c r="AB107" i="1"/>
  <c r="AA107" i="1"/>
  <c r="Z107" i="1"/>
  <c r="C107" i="1"/>
  <c r="C106" i="1"/>
  <c r="C105" i="1"/>
  <c r="U104" i="1"/>
  <c r="W103" i="1"/>
  <c r="S103" i="1"/>
  <c r="K103" i="1"/>
  <c r="U102" i="1"/>
  <c r="Q102" i="1"/>
  <c r="M102" i="1"/>
  <c r="I102" i="1"/>
  <c r="E102" i="1"/>
  <c r="W101" i="1"/>
  <c r="S101" i="1"/>
  <c r="O101" i="1"/>
  <c r="U100" i="1"/>
  <c r="M100" i="1"/>
  <c r="I100" i="1"/>
  <c r="E100" i="1"/>
  <c r="W99" i="1"/>
  <c r="U99" i="1"/>
  <c r="S99" i="1"/>
  <c r="O99" i="1"/>
  <c r="K99" i="1"/>
  <c r="U98" i="1"/>
  <c r="Q98" i="1"/>
  <c r="M98" i="1"/>
  <c r="I98" i="1"/>
  <c r="E98" i="1"/>
  <c r="W97" i="1"/>
  <c r="U97" i="1"/>
  <c r="S97" i="1"/>
  <c r="Q97" i="1"/>
  <c r="O97" i="1"/>
  <c r="M97" i="1"/>
  <c r="K97" i="1"/>
  <c r="I97" i="1"/>
  <c r="G97" i="1"/>
  <c r="E97" i="1"/>
  <c r="U96" i="1"/>
  <c r="Q96" i="1"/>
  <c r="M96" i="1"/>
  <c r="I96" i="1"/>
  <c r="E96" i="1"/>
  <c r="W95" i="1"/>
  <c r="U95" i="1"/>
  <c r="S95" i="1"/>
  <c r="Q95" i="1"/>
  <c r="O95" i="1"/>
  <c r="M95" i="1"/>
  <c r="K95" i="1"/>
  <c r="I95" i="1"/>
  <c r="G95" i="1"/>
  <c r="E95" i="1"/>
  <c r="W94" i="1"/>
  <c r="U94" i="1"/>
  <c r="S94" i="1"/>
  <c r="Q94" i="1"/>
  <c r="O94" i="1"/>
  <c r="M94" i="1"/>
  <c r="K94" i="1"/>
  <c r="I94" i="1"/>
  <c r="G94" i="1"/>
  <c r="E94" i="1"/>
  <c r="W93" i="1"/>
  <c r="U93" i="1"/>
  <c r="S93" i="1"/>
  <c r="Q93" i="1"/>
  <c r="O93" i="1"/>
  <c r="M93" i="1"/>
  <c r="K93" i="1"/>
  <c r="I93" i="1"/>
  <c r="G93" i="1"/>
  <c r="E93" i="1"/>
  <c r="W92" i="1"/>
  <c r="U92" i="1"/>
  <c r="S92" i="1"/>
  <c r="Q92" i="1"/>
  <c r="O92" i="1"/>
  <c r="M92" i="1"/>
  <c r="K92" i="1"/>
  <c r="I92" i="1"/>
  <c r="G92" i="1"/>
  <c r="E92" i="1"/>
  <c r="W91" i="1"/>
  <c r="U91" i="1"/>
  <c r="S91" i="1"/>
  <c r="Q91" i="1"/>
  <c r="O91" i="1"/>
  <c r="M91" i="1"/>
  <c r="K91" i="1"/>
  <c r="I91" i="1"/>
  <c r="G91" i="1"/>
  <c r="E91" i="1"/>
  <c r="W90" i="1"/>
  <c r="U90" i="1"/>
  <c r="S90" i="1"/>
  <c r="Q90" i="1"/>
  <c r="O90" i="1"/>
  <c r="M90" i="1"/>
  <c r="K90" i="1"/>
  <c r="I90" i="1"/>
  <c r="G90" i="1"/>
  <c r="E90" i="1"/>
  <c r="W89" i="1"/>
  <c r="U89" i="1"/>
  <c r="S89" i="1"/>
  <c r="Q89" i="1"/>
  <c r="O89" i="1"/>
  <c r="M89" i="1"/>
  <c r="K89" i="1"/>
  <c r="I89" i="1"/>
  <c r="G89" i="1"/>
  <c r="E89" i="1"/>
  <c r="U88" i="1"/>
  <c r="S88" i="1"/>
  <c r="P88" i="1"/>
  <c r="N88" i="1"/>
  <c r="L88" i="1"/>
  <c r="K88" i="1"/>
  <c r="J88" i="1"/>
  <c r="H88" i="1"/>
  <c r="F88" i="1"/>
  <c r="D88" i="1"/>
  <c r="W104" i="1"/>
  <c r="S104" i="1"/>
  <c r="P104" i="1"/>
  <c r="L104" i="1"/>
  <c r="K104" i="1"/>
  <c r="X88" i="1"/>
  <c r="V311" i="1"/>
  <c r="V330" i="1" s="1"/>
  <c r="U311" i="1"/>
  <c r="U330" i="1" s="1"/>
  <c r="Q101" i="1"/>
  <c r="O88" i="1"/>
  <c r="O103" i="1" s="1"/>
  <c r="M101" i="1"/>
  <c r="K101" i="1"/>
  <c r="I101" i="1"/>
  <c r="G88" i="1"/>
  <c r="G103" i="1" s="1"/>
  <c r="E101" i="1"/>
  <c r="C86" i="1"/>
  <c r="T88" i="1"/>
  <c r="Q99" i="1"/>
  <c r="M99" i="1"/>
  <c r="I99" i="1"/>
  <c r="G99" i="1"/>
  <c r="E99" i="1"/>
  <c r="C85" i="1"/>
  <c r="C84" i="1"/>
  <c r="C83" i="1"/>
  <c r="AB82" i="1"/>
  <c r="AA82" i="1"/>
  <c r="Z82" i="1"/>
  <c r="C82" i="1"/>
  <c r="C81" i="1"/>
  <c r="C80" i="1"/>
  <c r="W79" i="1"/>
  <c r="U79" i="1"/>
  <c r="E79" i="1"/>
  <c r="W78" i="1"/>
  <c r="K78" i="1"/>
  <c r="W77" i="1"/>
  <c r="U77" i="1"/>
  <c r="Q77" i="1"/>
  <c r="M77" i="1"/>
  <c r="I77" i="1"/>
  <c r="E77" i="1"/>
  <c r="W76" i="1"/>
  <c r="U76" i="1"/>
  <c r="Q76" i="1"/>
  <c r="O76" i="1"/>
  <c r="M76" i="1"/>
  <c r="K76" i="1"/>
  <c r="I76" i="1"/>
  <c r="G76" i="1"/>
  <c r="E76" i="1"/>
  <c r="W75" i="1"/>
  <c r="U75" i="1"/>
  <c r="Q75" i="1"/>
  <c r="O75" i="1"/>
  <c r="M75" i="1"/>
  <c r="K75" i="1"/>
  <c r="I75" i="1"/>
  <c r="G75" i="1"/>
  <c r="E75" i="1"/>
  <c r="W74" i="1"/>
  <c r="U74" i="1"/>
  <c r="Q74" i="1"/>
  <c r="O74" i="1"/>
  <c r="K74" i="1"/>
  <c r="I74" i="1"/>
  <c r="G74" i="1"/>
  <c r="E74" i="1"/>
  <c r="W73" i="1"/>
  <c r="U73" i="1"/>
  <c r="S73" i="1"/>
  <c r="Q73" i="1"/>
  <c r="O73" i="1"/>
  <c r="M73" i="1"/>
  <c r="K73" i="1"/>
  <c r="I73" i="1"/>
  <c r="G73" i="1"/>
  <c r="E73" i="1"/>
  <c r="W72" i="1"/>
  <c r="U72" i="1"/>
  <c r="S72" i="1"/>
  <c r="Q72" i="1"/>
  <c r="O72" i="1"/>
  <c r="M72" i="1"/>
  <c r="K72" i="1"/>
  <c r="I72" i="1"/>
  <c r="G72" i="1"/>
  <c r="E72" i="1"/>
  <c r="W71" i="1"/>
  <c r="U71" i="1"/>
  <c r="S71" i="1"/>
  <c r="Q71" i="1"/>
  <c r="O71" i="1"/>
  <c r="M71" i="1"/>
  <c r="K71" i="1"/>
  <c r="I71" i="1"/>
  <c r="G71" i="1"/>
  <c r="E71" i="1"/>
  <c r="W70" i="1"/>
  <c r="U70" i="1"/>
  <c r="S70" i="1"/>
  <c r="Q70" i="1"/>
  <c r="O70" i="1"/>
  <c r="M70" i="1"/>
  <c r="K70" i="1"/>
  <c r="I70" i="1"/>
  <c r="G70" i="1"/>
  <c r="E70" i="1"/>
  <c r="W69" i="1"/>
  <c r="U69" i="1"/>
  <c r="S69" i="1"/>
  <c r="Q69" i="1"/>
  <c r="O69" i="1"/>
  <c r="M69" i="1"/>
  <c r="K69" i="1"/>
  <c r="I69" i="1"/>
  <c r="G69" i="1"/>
  <c r="E69" i="1"/>
  <c r="W68" i="1"/>
  <c r="U68" i="1"/>
  <c r="S68" i="1"/>
  <c r="Q68" i="1"/>
  <c r="O68" i="1"/>
  <c r="M68" i="1"/>
  <c r="K68" i="1"/>
  <c r="I68" i="1"/>
  <c r="G68" i="1"/>
  <c r="E68" i="1"/>
  <c r="W67" i="1"/>
  <c r="U67" i="1"/>
  <c r="S67" i="1"/>
  <c r="Q67" i="1"/>
  <c r="O67" i="1"/>
  <c r="M67" i="1"/>
  <c r="K67" i="1"/>
  <c r="I67" i="1"/>
  <c r="G67" i="1"/>
  <c r="E67" i="1"/>
  <c r="W66" i="1"/>
  <c r="U66" i="1"/>
  <c r="S66" i="1"/>
  <c r="Q66" i="1"/>
  <c r="O66" i="1"/>
  <c r="M66" i="1"/>
  <c r="K66" i="1"/>
  <c r="I66" i="1"/>
  <c r="G66" i="1"/>
  <c r="E66" i="1"/>
  <c r="W65" i="1"/>
  <c r="U65" i="1"/>
  <c r="S65" i="1"/>
  <c r="Q65" i="1"/>
  <c r="O65" i="1"/>
  <c r="M65" i="1"/>
  <c r="K65" i="1"/>
  <c r="I65" i="1"/>
  <c r="G65" i="1"/>
  <c r="E65" i="1"/>
  <c r="W64" i="1"/>
  <c r="U64" i="1"/>
  <c r="S64" i="1"/>
  <c r="Q64" i="1"/>
  <c r="O64" i="1"/>
  <c r="M64" i="1"/>
  <c r="K64" i="1"/>
  <c r="I64" i="1"/>
  <c r="G64" i="1"/>
  <c r="E64" i="1"/>
  <c r="X63" i="1"/>
  <c r="P63" i="1"/>
  <c r="L63" i="1"/>
  <c r="K63" i="1"/>
  <c r="K79" i="1" s="1"/>
  <c r="J63" i="1"/>
  <c r="F63" i="1"/>
  <c r="D63" i="1"/>
  <c r="U78" i="1"/>
  <c r="T63" i="1"/>
  <c r="S77" i="1"/>
  <c r="Q63" i="1"/>
  <c r="Q79" i="1" s="1"/>
  <c r="O77" i="1"/>
  <c r="N63" i="1"/>
  <c r="M63" i="1"/>
  <c r="M79" i="1" s="1"/>
  <c r="K77" i="1"/>
  <c r="I63" i="1"/>
  <c r="I79" i="1" s="1"/>
  <c r="H63" i="1"/>
  <c r="G77" i="1"/>
  <c r="E63" i="1"/>
  <c r="S75" i="1"/>
  <c r="M74" i="1"/>
  <c r="C59" i="1"/>
  <c r="C58" i="1"/>
  <c r="AB57" i="1"/>
  <c r="Z57" i="1"/>
  <c r="C57" i="1"/>
  <c r="C56" i="1"/>
  <c r="AA57" i="1" s="1"/>
  <c r="C55" i="1"/>
  <c r="R53" i="1"/>
  <c r="X52" i="1"/>
  <c r="P52" i="1"/>
  <c r="H52" i="1"/>
  <c r="V51" i="1"/>
  <c r="N51" i="1"/>
  <c r="F51" i="1"/>
  <c r="X50" i="1"/>
  <c r="P50" i="1"/>
  <c r="M50" i="1"/>
  <c r="H50" i="1"/>
  <c r="X49" i="1"/>
  <c r="P49" i="1"/>
  <c r="H49" i="1"/>
  <c r="X48" i="1"/>
  <c r="T48" i="1"/>
  <c r="N48" i="1"/>
  <c r="L48" i="1"/>
  <c r="I48" i="1"/>
  <c r="H48" i="1"/>
  <c r="D48" i="1"/>
  <c r="X47" i="1"/>
  <c r="T47" i="1"/>
  <c r="L47" i="1"/>
  <c r="J47" i="1"/>
  <c r="H47" i="1"/>
  <c r="D47" i="1"/>
  <c r="X46" i="1"/>
  <c r="U46" i="1"/>
  <c r="T46" i="1"/>
  <c r="P46" i="1"/>
  <c r="J46" i="1"/>
  <c r="H46" i="1"/>
  <c r="E46" i="1"/>
  <c r="D46" i="1"/>
  <c r="X45" i="1"/>
  <c r="V45" i="1"/>
  <c r="T45" i="1"/>
  <c r="P45" i="1"/>
  <c r="H45" i="1"/>
  <c r="F45" i="1"/>
  <c r="D45" i="1"/>
  <c r="V44" i="1"/>
  <c r="T44" i="1"/>
  <c r="Q44" i="1"/>
  <c r="P44" i="1"/>
  <c r="L44" i="1"/>
  <c r="F44" i="1"/>
  <c r="D44" i="1"/>
  <c r="T43" i="1"/>
  <c r="R43" i="1"/>
  <c r="P43" i="1"/>
  <c r="L43" i="1"/>
  <c r="D43" i="1"/>
  <c r="X42" i="1"/>
  <c r="R42" i="1"/>
  <c r="P42" i="1"/>
  <c r="M42" i="1"/>
  <c r="L42" i="1"/>
  <c r="J42" i="1"/>
  <c r="H42" i="1"/>
  <c r="X41" i="1"/>
  <c r="V41" i="1"/>
  <c r="P41" i="1"/>
  <c r="N41" i="1"/>
  <c r="L41" i="1"/>
  <c r="J41" i="1"/>
  <c r="H41" i="1"/>
  <c r="F41" i="1"/>
  <c r="D41" i="1"/>
  <c r="X40" i="1"/>
  <c r="V40" i="1"/>
  <c r="T40" i="1"/>
  <c r="R40" i="1"/>
  <c r="P40" i="1"/>
  <c r="N40" i="1"/>
  <c r="L40" i="1"/>
  <c r="J40" i="1"/>
  <c r="H40" i="1"/>
  <c r="F40" i="1"/>
  <c r="D40" i="1"/>
  <c r="X39" i="1"/>
  <c r="V39" i="1"/>
  <c r="T39" i="1"/>
  <c r="R39" i="1"/>
  <c r="P39" i="1"/>
  <c r="N39" i="1"/>
  <c r="L39" i="1"/>
  <c r="J39" i="1"/>
  <c r="H39" i="1"/>
  <c r="F39" i="1"/>
  <c r="D39" i="1"/>
  <c r="K38" i="1"/>
  <c r="W47" i="1"/>
  <c r="V52" i="1"/>
  <c r="U48" i="1"/>
  <c r="R54" i="1"/>
  <c r="Q46" i="1"/>
  <c r="O49" i="1"/>
  <c r="N52" i="1"/>
  <c r="M44" i="1"/>
  <c r="K49" i="1"/>
  <c r="J54" i="1"/>
  <c r="I50" i="1"/>
  <c r="G45" i="1"/>
  <c r="F52" i="1"/>
  <c r="E48" i="1"/>
  <c r="C37" i="1"/>
  <c r="X38" i="1"/>
  <c r="X54" i="1" s="1"/>
  <c r="T51" i="1"/>
  <c r="S38" i="1"/>
  <c r="Q38" i="1"/>
  <c r="P38" i="1"/>
  <c r="P54" i="1" s="1"/>
  <c r="O38" i="1"/>
  <c r="N38" i="1"/>
  <c r="M38" i="1"/>
  <c r="L51" i="1"/>
  <c r="J38" i="1"/>
  <c r="J53" i="1" s="1"/>
  <c r="I38" i="1"/>
  <c r="H38" i="1"/>
  <c r="H54" i="1" s="1"/>
  <c r="G38" i="1"/>
  <c r="F38" i="1"/>
  <c r="C36" i="1"/>
  <c r="D51" i="1"/>
  <c r="T50" i="1"/>
  <c r="N49" i="1"/>
  <c r="L50" i="1"/>
  <c r="C35" i="1"/>
  <c r="C34" i="1"/>
  <c r="C33" i="1"/>
  <c r="AB32" i="1"/>
  <c r="Z32" i="1"/>
  <c r="C32" i="1"/>
  <c r="AA32" i="1" s="1"/>
  <c r="C31" i="1"/>
  <c r="C30" i="1"/>
  <c r="W29" i="1"/>
  <c r="K29" i="1"/>
  <c r="W28" i="1"/>
  <c r="U28" i="1"/>
  <c r="W27" i="1"/>
  <c r="S27" i="1"/>
  <c r="O27" i="1"/>
  <c r="K27" i="1"/>
  <c r="G27" i="1"/>
  <c r="W26" i="1"/>
  <c r="U26" i="1"/>
  <c r="Q26" i="1"/>
  <c r="M26" i="1"/>
  <c r="I26" i="1"/>
  <c r="E26" i="1"/>
  <c r="W25" i="1"/>
  <c r="O25" i="1"/>
  <c r="K25" i="1"/>
  <c r="G25" i="1"/>
  <c r="W24" i="1"/>
  <c r="U24" i="1"/>
  <c r="Q24" i="1"/>
  <c r="O24" i="1"/>
  <c r="W23" i="1"/>
  <c r="S23" i="1"/>
  <c r="O23" i="1"/>
  <c r="K23" i="1"/>
  <c r="G23" i="1"/>
  <c r="W22" i="1"/>
  <c r="U22" i="1"/>
  <c r="S22" i="1"/>
  <c r="Q22" i="1"/>
  <c r="O22" i="1"/>
  <c r="M22" i="1"/>
  <c r="K22" i="1"/>
  <c r="I22" i="1"/>
  <c r="G22" i="1"/>
  <c r="E22" i="1"/>
  <c r="W21" i="1"/>
  <c r="U21" i="1"/>
  <c r="S21" i="1"/>
  <c r="O21" i="1"/>
  <c r="K21" i="1"/>
  <c r="G21" i="1"/>
  <c r="W20" i="1"/>
  <c r="U20" i="1"/>
  <c r="S20" i="1"/>
  <c r="Q20" i="1"/>
  <c r="O20" i="1"/>
  <c r="M20" i="1"/>
  <c r="K20" i="1"/>
  <c r="I20" i="1"/>
  <c r="G20" i="1"/>
  <c r="E20" i="1"/>
  <c r="W19" i="1"/>
  <c r="U19" i="1"/>
  <c r="S19" i="1"/>
  <c r="Q19" i="1"/>
  <c r="O19" i="1"/>
  <c r="M19" i="1"/>
  <c r="K19" i="1"/>
  <c r="I19" i="1"/>
  <c r="G19" i="1"/>
  <c r="E19" i="1"/>
  <c r="W18" i="1"/>
  <c r="U18" i="1"/>
  <c r="S18" i="1"/>
  <c r="Q18" i="1"/>
  <c r="O18" i="1"/>
  <c r="M18" i="1"/>
  <c r="K18" i="1"/>
  <c r="I18" i="1"/>
  <c r="G18" i="1"/>
  <c r="E18" i="1"/>
  <c r="W17" i="1"/>
  <c r="U17" i="1"/>
  <c r="S17" i="1"/>
  <c r="Q17" i="1"/>
  <c r="O17" i="1"/>
  <c r="M17" i="1"/>
  <c r="K17" i="1"/>
  <c r="I17" i="1"/>
  <c r="G17" i="1"/>
  <c r="E17" i="1"/>
  <c r="W16" i="1"/>
  <c r="U16" i="1"/>
  <c r="S16" i="1"/>
  <c r="Q16" i="1"/>
  <c r="O16" i="1"/>
  <c r="M16" i="1"/>
  <c r="K16" i="1"/>
  <c r="I16" i="1"/>
  <c r="G16" i="1"/>
  <c r="E16" i="1"/>
  <c r="W15" i="1"/>
  <c r="U15" i="1"/>
  <c r="S15" i="1"/>
  <c r="Q15" i="1"/>
  <c r="O15" i="1"/>
  <c r="M15" i="1"/>
  <c r="K15" i="1"/>
  <c r="I15" i="1"/>
  <c r="G15" i="1"/>
  <c r="E15" i="1"/>
  <c r="W14" i="1"/>
  <c r="U14" i="1"/>
  <c r="S14" i="1"/>
  <c r="Q14" i="1"/>
  <c r="O14" i="1"/>
  <c r="M14" i="1"/>
  <c r="K14" i="1"/>
  <c r="I14" i="1"/>
  <c r="G14" i="1"/>
  <c r="E14" i="1"/>
  <c r="K13" i="1"/>
  <c r="K28" i="1" s="1"/>
  <c r="X312" i="1"/>
  <c r="V312" i="1"/>
  <c r="U312" i="1"/>
  <c r="T312" i="1"/>
  <c r="R312" i="1"/>
  <c r="Q312" i="1"/>
  <c r="P312" i="1"/>
  <c r="N312" i="1"/>
  <c r="M312" i="1"/>
  <c r="L312" i="1"/>
  <c r="J312" i="1"/>
  <c r="I312" i="1"/>
  <c r="H312" i="1"/>
  <c r="F312" i="1"/>
  <c r="E312" i="1"/>
  <c r="D312" i="1"/>
  <c r="X311" i="1"/>
  <c r="T311" i="1"/>
  <c r="T330" i="1" s="1"/>
  <c r="S311" i="1"/>
  <c r="S330" i="1" s="1"/>
  <c r="P311" i="1"/>
  <c r="P330" i="1" s="1"/>
  <c r="O311" i="1"/>
  <c r="O330" i="1" s="1"/>
  <c r="N311" i="1"/>
  <c r="N330" i="1" s="1"/>
  <c r="L311" i="1"/>
  <c r="L330" i="1" s="1"/>
  <c r="K311" i="1"/>
  <c r="K330" i="1" s="1"/>
  <c r="J311" i="1"/>
  <c r="J330" i="1" s="1"/>
  <c r="H311" i="1"/>
  <c r="H330" i="1" s="1"/>
  <c r="G311" i="1"/>
  <c r="G330" i="1" s="1"/>
  <c r="F311" i="1"/>
  <c r="F330" i="1" s="1"/>
  <c r="D311" i="1"/>
  <c r="S310" i="1"/>
  <c r="S338" i="1" s="1"/>
  <c r="Q310" i="1"/>
  <c r="Q338" i="1" s="1"/>
  <c r="M310" i="1"/>
  <c r="M338" i="1" s="1"/>
  <c r="L310" i="1"/>
  <c r="L338" i="1" s="1"/>
  <c r="K310" i="1"/>
  <c r="I310" i="1"/>
  <c r="I338" i="1" s="1"/>
  <c r="H310" i="1"/>
  <c r="H338" i="1" s="1"/>
  <c r="G310" i="1"/>
  <c r="G338" i="1" s="1"/>
  <c r="E310" i="1"/>
  <c r="E338" i="1" s="1"/>
  <c r="D310" i="1"/>
  <c r="C9" i="1"/>
  <c r="C8" i="1"/>
  <c r="AB7" i="1"/>
  <c r="Z7" i="1"/>
  <c r="C7" i="1"/>
  <c r="AA7" i="1" s="1"/>
  <c r="C6" i="1"/>
  <c r="C5" i="1"/>
  <c r="C218" i="1" l="1"/>
  <c r="C50" i="1"/>
  <c r="C48" i="1"/>
  <c r="C46" i="1"/>
  <c r="C44" i="1"/>
  <c r="C42" i="1"/>
  <c r="C40" i="1"/>
  <c r="H53" i="1"/>
  <c r="P53" i="1"/>
  <c r="X53" i="1"/>
  <c r="M347" i="1"/>
  <c r="M343" i="1"/>
  <c r="M346" i="1"/>
  <c r="M342" i="1"/>
  <c r="M349" i="1"/>
  <c r="M345" i="1"/>
  <c r="M341" i="1"/>
  <c r="M348" i="1"/>
  <c r="M344" i="1"/>
  <c r="M340" i="1"/>
  <c r="Z317" i="1"/>
  <c r="X330" i="1"/>
  <c r="V326" i="1"/>
  <c r="V325" i="1"/>
  <c r="V319" i="1"/>
  <c r="V324" i="1"/>
  <c r="V323" i="1"/>
  <c r="V317" i="1"/>
  <c r="V315" i="1"/>
  <c r="V322" i="1"/>
  <c r="V321" i="1"/>
  <c r="V320" i="1"/>
  <c r="V314" i="1"/>
  <c r="V327" i="1"/>
  <c r="V316" i="1"/>
  <c r="V318" i="1"/>
  <c r="L13" i="1"/>
  <c r="M24" i="1"/>
  <c r="S54" i="1"/>
  <c r="S52" i="1"/>
  <c r="S50" i="1"/>
  <c r="S48" i="1"/>
  <c r="S46" i="1"/>
  <c r="S44" i="1"/>
  <c r="S42" i="1"/>
  <c r="S53" i="1"/>
  <c r="S51" i="1"/>
  <c r="S41" i="1"/>
  <c r="K45" i="1"/>
  <c r="J78" i="1"/>
  <c r="J76" i="1"/>
  <c r="J74" i="1"/>
  <c r="J72" i="1"/>
  <c r="J70" i="1"/>
  <c r="J68" i="1"/>
  <c r="J66" i="1"/>
  <c r="J64" i="1"/>
  <c r="J79" i="1"/>
  <c r="J77" i="1"/>
  <c r="J75" i="1"/>
  <c r="J73" i="1"/>
  <c r="J71" i="1"/>
  <c r="J69" i="1"/>
  <c r="J67" i="1"/>
  <c r="J65" i="1"/>
  <c r="V78" i="1"/>
  <c r="V76" i="1"/>
  <c r="V74" i="1"/>
  <c r="V72" i="1"/>
  <c r="V70" i="1"/>
  <c r="V68" i="1"/>
  <c r="V66" i="1"/>
  <c r="V64" i="1"/>
  <c r="V79" i="1"/>
  <c r="V77" i="1"/>
  <c r="V75" i="1"/>
  <c r="V73" i="1"/>
  <c r="V71" i="1"/>
  <c r="V69" i="1"/>
  <c r="V67" i="1"/>
  <c r="V65" i="1"/>
  <c r="AA88" i="1"/>
  <c r="F310" i="1"/>
  <c r="F338" i="1" s="1"/>
  <c r="J310" i="1"/>
  <c r="J338" i="1" s="1"/>
  <c r="N310" i="1"/>
  <c r="N338" i="1" s="1"/>
  <c r="T310" i="1"/>
  <c r="T338" i="1" s="1"/>
  <c r="E311" i="1"/>
  <c r="E330" i="1" s="1"/>
  <c r="I311" i="1"/>
  <c r="I330" i="1" s="1"/>
  <c r="M311" i="1"/>
  <c r="M330" i="1" s="1"/>
  <c r="Q311" i="1"/>
  <c r="Q330" i="1" s="1"/>
  <c r="C12" i="1"/>
  <c r="G312" i="1"/>
  <c r="K312" i="1"/>
  <c r="O312" i="1"/>
  <c r="S312" i="1"/>
  <c r="W312" i="1"/>
  <c r="E13" i="1"/>
  <c r="I13" i="1"/>
  <c r="I29" i="1" s="1"/>
  <c r="M13" i="1"/>
  <c r="Q13" i="1"/>
  <c r="F14" i="1"/>
  <c r="J14" i="1"/>
  <c r="N14" i="1"/>
  <c r="R14" i="1"/>
  <c r="V14" i="1"/>
  <c r="D15" i="1"/>
  <c r="H15" i="1"/>
  <c r="L15" i="1"/>
  <c r="P15" i="1"/>
  <c r="T15" i="1"/>
  <c r="X15" i="1"/>
  <c r="F16" i="1"/>
  <c r="J16" i="1"/>
  <c r="N16" i="1"/>
  <c r="R16" i="1"/>
  <c r="V16" i="1"/>
  <c r="D17" i="1"/>
  <c r="H17" i="1"/>
  <c r="L17" i="1"/>
  <c r="P17" i="1"/>
  <c r="T17" i="1"/>
  <c r="X17" i="1"/>
  <c r="F18" i="1"/>
  <c r="J18" i="1"/>
  <c r="N18" i="1"/>
  <c r="R18" i="1"/>
  <c r="V18" i="1"/>
  <c r="D19" i="1"/>
  <c r="H19" i="1"/>
  <c r="L19" i="1"/>
  <c r="P19" i="1"/>
  <c r="T19" i="1"/>
  <c r="X19" i="1"/>
  <c r="F20" i="1"/>
  <c r="J20" i="1"/>
  <c r="N20" i="1"/>
  <c r="R20" i="1"/>
  <c r="V20" i="1"/>
  <c r="D21" i="1"/>
  <c r="H21" i="1"/>
  <c r="L21" i="1"/>
  <c r="P21" i="1"/>
  <c r="T21" i="1"/>
  <c r="X21" i="1"/>
  <c r="F22" i="1"/>
  <c r="J22" i="1"/>
  <c r="N22" i="1"/>
  <c r="R22" i="1"/>
  <c r="V22" i="1"/>
  <c r="D23" i="1"/>
  <c r="H23" i="1"/>
  <c r="L23" i="1"/>
  <c r="P23" i="1"/>
  <c r="T23" i="1"/>
  <c r="X23" i="1"/>
  <c r="F24" i="1"/>
  <c r="J24" i="1"/>
  <c r="N24" i="1"/>
  <c r="R24" i="1"/>
  <c r="V24" i="1"/>
  <c r="D25" i="1"/>
  <c r="H25" i="1"/>
  <c r="L25" i="1"/>
  <c r="P25" i="1"/>
  <c r="T25" i="1"/>
  <c r="X25" i="1"/>
  <c r="F26" i="1"/>
  <c r="J26" i="1"/>
  <c r="N26" i="1"/>
  <c r="R26" i="1"/>
  <c r="V26" i="1"/>
  <c r="D27" i="1"/>
  <c r="H27" i="1"/>
  <c r="L27" i="1"/>
  <c r="P27" i="1"/>
  <c r="T27" i="1"/>
  <c r="X27" i="1"/>
  <c r="R28" i="1"/>
  <c r="V28" i="1"/>
  <c r="L29" i="1"/>
  <c r="P29" i="1"/>
  <c r="G39" i="1"/>
  <c r="K39" i="1"/>
  <c r="O39" i="1"/>
  <c r="S39" i="1"/>
  <c r="W39" i="1"/>
  <c r="E40" i="1"/>
  <c r="I40" i="1"/>
  <c r="M40" i="1"/>
  <c r="Q40" i="1"/>
  <c r="U40" i="1"/>
  <c r="G41" i="1"/>
  <c r="K41" i="1"/>
  <c r="O41" i="1"/>
  <c r="T41" i="1"/>
  <c r="D42" i="1"/>
  <c r="I42" i="1"/>
  <c r="N42" i="1"/>
  <c r="T42" i="1"/>
  <c r="H43" i="1"/>
  <c r="N43" i="1"/>
  <c r="S43" i="1"/>
  <c r="X43" i="1"/>
  <c r="H44" i="1"/>
  <c r="R44" i="1"/>
  <c r="X44" i="1"/>
  <c r="L45" i="1"/>
  <c r="R45" i="1"/>
  <c r="W45" i="1"/>
  <c r="F46" i="1"/>
  <c r="L46" i="1"/>
  <c r="V46" i="1"/>
  <c r="F47" i="1"/>
  <c r="K47" i="1"/>
  <c r="P47" i="1"/>
  <c r="V47" i="1"/>
  <c r="J48" i="1"/>
  <c r="P48" i="1"/>
  <c r="D49" i="1"/>
  <c r="J49" i="1"/>
  <c r="T49" i="1"/>
  <c r="D50" i="1"/>
  <c r="N50" i="1"/>
  <c r="V50" i="1"/>
  <c r="H51" i="1"/>
  <c r="P51" i="1"/>
  <c r="X51" i="1"/>
  <c r="J52" i="1"/>
  <c r="R52" i="1"/>
  <c r="F54" i="1"/>
  <c r="N54" i="1"/>
  <c r="V54" i="1"/>
  <c r="C61" i="1"/>
  <c r="S74" i="1"/>
  <c r="S76" i="1"/>
  <c r="F103" i="1"/>
  <c r="F101" i="1"/>
  <c r="F99" i="1"/>
  <c r="F97" i="1"/>
  <c r="F95" i="1"/>
  <c r="F93" i="1"/>
  <c r="F91" i="1"/>
  <c r="F89" i="1"/>
  <c r="F104" i="1"/>
  <c r="F102" i="1"/>
  <c r="F100" i="1"/>
  <c r="F98" i="1"/>
  <c r="F96" i="1"/>
  <c r="F94" i="1"/>
  <c r="F92" i="1"/>
  <c r="F90" i="1"/>
  <c r="J103" i="1"/>
  <c r="J101" i="1"/>
  <c r="J99" i="1"/>
  <c r="J97" i="1"/>
  <c r="J95" i="1"/>
  <c r="J93" i="1"/>
  <c r="J91" i="1"/>
  <c r="J89" i="1"/>
  <c r="J104" i="1"/>
  <c r="J102" i="1"/>
  <c r="J100" i="1"/>
  <c r="J98" i="1"/>
  <c r="J96" i="1"/>
  <c r="J94" i="1"/>
  <c r="J92" i="1"/>
  <c r="J90" i="1"/>
  <c r="N103" i="1"/>
  <c r="N101" i="1"/>
  <c r="N99" i="1"/>
  <c r="N97" i="1"/>
  <c r="N95" i="1"/>
  <c r="N93" i="1"/>
  <c r="N91" i="1"/>
  <c r="N89" i="1"/>
  <c r="N104" i="1"/>
  <c r="N102" i="1"/>
  <c r="N100" i="1"/>
  <c r="N98" i="1"/>
  <c r="N96" i="1"/>
  <c r="N94" i="1"/>
  <c r="N92" i="1"/>
  <c r="N90" i="1"/>
  <c r="R103" i="1"/>
  <c r="R101" i="1"/>
  <c r="R99" i="1"/>
  <c r="R97" i="1"/>
  <c r="R95" i="1"/>
  <c r="R93" i="1"/>
  <c r="R91" i="1"/>
  <c r="R89" i="1"/>
  <c r="R104" i="1"/>
  <c r="R102" i="1"/>
  <c r="R100" i="1"/>
  <c r="R98" i="1"/>
  <c r="R96" i="1"/>
  <c r="R94" i="1"/>
  <c r="R92" i="1"/>
  <c r="R90" i="1"/>
  <c r="V101" i="1"/>
  <c r="V99" i="1"/>
  <c r="V97" i="1"/>
  <c r="V95" i="1"/>
  <c r="V93" i="1"/>
  <c r="V91" i="1"/>
  <c r="V89" i="1"/>
  <c r="V102" i="1"/>
  <c r="V100" i="1"/>
  <c r="V98" i="1"/>
  <c r="V96" i="1"/>
  <c r="V94" i="1"/>
  <c r="V92" i="1"/>
  <c r="V90" i="1"/>
  <c r="U103" i="1"/>
  <c r="E128" i="1"/>
  <c r="E124" i="1"/>
  <c r="E120" i="1"/>
  <c r="E129" i="1"/>
  <c r="E125" i="1"/>
  <c r="E121" i="1"/>
  <c r="E117" i="1"/>
  <c r="E116" i="1"/>
  <c r="E114" i="1"/>
  <c r="C112" i="1"/>
  <c r="E126" i="1"/>
  <c r="E122" i="1"/>
  <c r="E118" i="1"/>
  <c r="I126" i="1"/>
  <c r="I122" i="1"/>
  <c r="I118" i="1"/>
  <c r="I127" i="1"/>
  <c r="I123" i="1"/>
  <c r="I119" i="1"/>
  <c r="I114" i="1"/>
  <c r="I128" i="1"/>
  <c r="I124" i="1"/>
  <c r="I120" i="1"/>
  <c r="I117" i="1"/>
  <c r="I116" i="1"/>
  <c r="M128" i="1"/>
  <c r="M124" i="1"/>
  <c r="M120" i="1"/>
  <c r="M129" i="1"/>
  <c r="M125" i="1"/>
  <c r="M121" i="1"/>
  <c r="M114" i="1"/>
  <c r="M126" i="1"/>
  <c r="M122" i="1"/>
  <c r="M118" i="1"/>
  <c r="Q126" i="1"/>
  <c r="Q122" i="1"/>
  <c r="Q118" i="1"/>
  <c r="Q117" i="1"/>
  <c r="Q116" i="1"/>
  <c r="Q127" i="1"/>
  <c r="Q123" i="1"/>
  <c r="Q119" i="1"/>
  <c r="Q114" i="1"/>
  <c r="Q128" i="1"/>
  <c r="Q124" i="1"/>
  <c r="Q120" i="1"/>
  <c r="U128" i="1"/>
  <c r="U124" i="1"/>
  <c r="U120" i="1"/>
  <c r="U129" i="1"/>
  <c r="U125" i="1"/>
  <c r="U121" i="1"/>
  <c r="U117" i="1"/>
  <c r="U116" i="1"/>
  <c r="U114" i="1"/>
  <c r="U126" i="1"/>
  <c r="U122" i="1"/>
  <c r="U118" i="1"/>
  <c r="C113" i="1"/>
  <c r="E115" i="1"/>
  <c r="U115" i="1"/>
  <c r="M116" i="1"/>
  <c r="M119" i="1"/>
  <c r="U123" i="1"/>
  <c r="I125" i="1"/>
  <c r="S126" i="1"/>
  <c r="Q129" i="1"/>
  <c r="I347" i="1"/>
  <c r="I343" i="1"/>
  <c r="I346" i="1"/>
  <c r="I342" i="1"/>
  <c r="I349" i="1"/>
  <c r="I345" i="1"/>
  <c r="I341" i="1"/>
  <c r="I348" i="1"/>
  <c r="I344" i="1"/>
  <c r="I340" i="1"/>
  <c r="D330" i="1"/>
  <c r="C311" i="1"/>
  <c r="J321" i="1"/>
  <c r="J319" i="1"/>
  <c r="J327" i="1"/>
  <c r="J326" i="1"/>
  <c r="J325" i="1"/>
  <c r="J317" i="1"/>
  <c r="J315" i="1"/>
  <c r="J324" i="1"/>
  <c r="J323" i="1"/>
  <c r="J316" i="1"/>
  <c r="J318" i="1"/>
  <c r="J314" i="1"/>
  <c r="J322" i="1"/>
  <c r="J320" i="1"/>
  <c r="R324" i="1"/>
  <c r="R323" i="1"/>
  <c r="R319" i="1"/>
  <c r="R327" i="1"/>
  <c r="R322" i="1"/>
  <c r="R321" i="1"/>
  <c r="R317" i="1"/>
  <c r="R315" i="1"/>
  <c r="R316" i="1"/>
  <c r="R326" i="1"/>
  <c r="R325" i="1"/>
  <c r="R318" i="1"/>
  <c r="R314" i="1"/>
  <c r="R320" i="1"/>
  <c r="H13" i="1"/>
  <c r="H29" i="1" s="1"/>
  <c r="P13" i="1"/>
  <c r="P313" i="1" s="1"/>
  <c r="E24" i="1"/>
  <c r="S25" i="1"/>
  <c r="G54" i="1"/>
  <c r="G52" i="1"/>
  <c r="G50" i="1"/>
  <c r="G48" i="1"/>
  <c r="G46" i="1"/>
  <c r="G44" i="1"/>
  <c r="G42" i="1"/>
  <c r="G53" i="1"/>
  <c r="G51" i="1"/>
  <c r="O54" i="1"/>
  <c r="O52" i="1"/>
  <c r="O50" i="1"/>
  <c r="O48" i="1"/>
  <c r="O46" i="1"/>
  <c r="O44" i="1"/>
  <c r="O42" i="1"/>
  <c r="O53" i="1"/>
  <c r="O51" i="1"/>
  <c r="E38" i="1"/>
  <c r="E54" i="1" s="1"/>
  <c r="O47" i="1"/>
  <c r="S49" i="1"/>
  <c r="N78" i="1"/>
  <c r="N76" i="1"/>
  <c r="N74" i="1"/>
  <c r="N72" i="1"/>
  <c r="N70" i="1"/>
  <c r="N68" i="1"/>
  <c r="N66" i="1"/>
  <c r="N64" i="1"/>
  <c r="N79" i="1"/>
  <c r="N77" i="1"/>
  <c r="N75" i="1"/>
  <c r="N73" i="1"/>
  <c r="N71" i="1"/>
  <c r="N69" i="1"/>
  <c r="N67" i="1"/>
  <c r="N65" i="1"/>
  <c r="C10" i="1"/>
  <c r="X310" i="1"/>
  <c r="X338" i="1" s="1"/>
  <c r="H323" i="1"/>
  <c r="H322" i="1"/>
  <c r="H320" i="1"/>
  <c r="H318" i="1"/>
  <c r="H316" i="1"/>
  <c r="H314" i="1"/>
  <c r="H327" i="1"/>
  <c r="H326" i="1"/>
  <c r="H321" i="1"/>
  <c r="H315" i="1"/>
  <c r="H317" i="1"/>
  <c r="H325" i="1"/>
  <c r="H324" i="1"/>
  <c r="H319" i="1"/>
  <c r="L327" i="1"/>
  <c r="L325" i="1"/>
  <c r="L324" i="1"/>
  <c r="L320" i="1"/>
  <c r="L318" i="1"/>
  <c r="L323" i="1"/>
  <c r="L322" i="1"/>
  <c r="L316" i="1"/>
  <c r="L314" i="1"/>
  <c r="L321" i="1"/>
  <c r="L317" i="1"/>
  <c r="L319" i="1"/>
  <c r="L326" i="1"/>
  <c r="L315" i="1"/>
  <c r="P329" i="1"/>
  <c r="P326" i="1"/>
  <c r="P320" i="1"/>
  <c r="P318" i="1"/>
  <c r="P325" i="1"/>
  <c r="P316" i="1"/>
  <c r="P314" i="1"/>
  <c r="P327" i="1"/>
  <c r="P323" i="1"/>
  <c r="P322" i="1"/>
  <c r="P315" i="1"/>
  <c r="P321" i="1"/>
  <c r="P317" i="1"/>
  <c r="P328" i="1"/>
  <c r="P319" i="1"/>
  <c r="T327" i="1"/>
  <c r="T321" i="1"/>
  <c r="T320" i="1"/>
  <c r="T318" i="1"/>
  <c r="T326" i="1"/>
  <c r="T316" i="1"/>
  <c r="T314" i="1"/>
  <c r="T317" i="1"/>
  <c r="T323" i="1"/>
  <c r="T322" i="1"/>
  <c r="T319" i="1"/>
  <c r="T315" i="1"/>
  <c r="X323" i="1"/>
  <c r="X322" i="1"/>
  <c r="X320" i="1"/>
  <c r="X318" i="1"/>
  <c r="X321" i="1"/>
  <c r="X316" i="1"/>
  <c r="X314" i="1"/>
  <c r="X327" i="1"/>
  <c r="X326" i="1"/>
  <c r="X324" i="1"/>
  <c r="X315" i="1"/>
  <c r="X317" i="1"/>
  <c r="X319" i="1"/>
  <c r="F13" i="1"/>
  <c r="F28" i="1" s="1"/>
  <c r="J13" i="1"/>
  <c r="N13" i="1"/>
  <c r="S13" i="1"/>
  <c r="E21" i="1"/>
  <c r="I21" i="1"/>
  <c r="M21" i="1"/>
  <c r="Q21" i="1"/>
  <c r="E23" i="1"/>
  <c r="I23" i="1"/>
  <c r="M23" i="1"/>
  <c r="Q23" i="1"/>
  <c r="U23" i="1"/>
  <c r="G24" i="1"/>
  <c r="K24" i="1"/>
  <c r="S24" i="1"/>
  <c r="E25" i="1"/>
  <c r="I25" i="1"/>
  <c r="M25" i="1"/>
  <c r="Q25" i="1"/>
  <c r="U25" i="1"/>
  <c r="G26" i="1"/>
  <c r="K26" i="1"/>
  <c r="O26" i="1"/>
  <c r="S26" i="1"/>
  <c r="E27" i="1"/>
  <c r="I27" i="1"/>
  <c r="M27" i="1"/>
  <c r="Q27" i="1"/>
  <c r="U27" i="1"/>
  <c r="E29" i="1"/>
  <c r="M29" i="1"/>
  <c r="Q29" i="1"/>
  <c r="U29" i="1"/>
  <c r="E53" i="1"/>
  <c r="E51" i="1"/>
  <c r="C51" i="1" s="1"/>
  <c r="E49" i="1"/>
  <c r="E47" i="1"/>
  <c r="C47" i="1" s="1"/>
  <c r="E45" i="1"/>
  <c r="E43" i="1"/>
  <c r="C43" i="1" s="1"/>
  <c r="E52" i="1"/>
  <c r="I53" i="1"/>
  <c r="I51" i="1"/>
  <c r="I49" i="1"/>
  <c r="I47" i="1"/>
  <c r="I45" i="1"/>
  <c r="I43" i="1"/>
  <c r="I54" i="1"/>
  <c r="I52" i="1"/>
  <c r="M53" i="1"/>
  <c r="M51" i="1"/>
  <c r="M49" i="1"/>
  <c r="M47" i="1"/>
  <c r="M45" i="1"/>
  <c r="M43" i="1"/>
  <c r="M54" i="1"/>
  <c r="M52" i="1"/>
  <c r="Q53" i="1"/>
  <c r="Q51" i="1"/>
  <c r="Q49" i="1"/>
  <c r="Q47" i="1"/>
  <c r="Q45" i="1"/>
  <c r="Q43" i="1"/>
  <c r="Q41" i="1"/>
  <c r="Q54" i="1"/>
  <c r="Q52" i="1"/>
  <c r="Q50" i="1"/>
  <c r="U53" i="1"/>
  <c r="U51" i="1"/>
  <c r="U49" i="1"/>
  <c r="U47" i="1"/>
  <c r="U45" i="1"/>
  <c r="U43" i="1"/>
  <c r="U41" i="1"/>
  <c r="U54" i="1"/>
  <c r="U52" i="1"/>
  <c r="U50" i="1"/>
  <c r="T38" i="1"/>
  <c r="T54" i="1" s="1"/>
  <c r="E42" i="1"/>
  <c r="U42" i="1"/>
  <c r="J43" i="1"/>
  <c r="O43" i="1"/>
  <c r="I44" i="1"/>
  <c r="N44" i="1"/>
  <c r="N45" i="1"/>
  <c r="S45" i="1"/>
  <c r="M46" i="1"/>
  <c r="R46" i="1"/>
  <c r="G47" i="1"/>
  <c r="R47" i="1"/>
  <c r="F48" i="1"/>
  <c r="Q48" i="1"/>
  <c r="V48" i="1"/>
  <c r="F49" i="1"/>
  <c r="V49" i="1"/>
  <c r="E50" i="1"/>
  <c r="J50" i="1"/>
  <c r="J51" i="1"/>
  <c r="R51" i="1"/>
  <c r="D52" i="1"/>
  <c r="L52" i="1"/>
  <c r="T52" i="1"/>
  <c r="F53" i="1"/>
  <c r="N53" i="1"/>
  <c r="V53" i="1"/>
  <c r="C60" i="1"/>
  <c r="D79" i="1"/>
  <c r="D77" i="1"/>
  <c r="D75" i="1"/>
  <c r="D73" i="1"/>
  <c r="D71" i="1"/>
  <c r="D69" i="1"/>
  <c r="D67" i="1"/>
  <c r="D65" i="1"/>
  <c r="C62" i="1"/>
  <c r="D78" i="1"/>
  <c r="D76" i="1"/>
  <c r="D74" i="1"/>
  <c r="D72" i="1"/>
  <c r="D70" i="1"/>
  <c r="D68" i="1"/>
  <c r="D66" i="1"/>
  <c r="D64" i="1"/>
  <c r="H79" i="1"/>
  <c r="H77" i="1"/>
  <c r="H75" i="1"/>
  <c r="H73" i="1"/>
  <c r="H71" i="1"/>
  <c r="H69" i="1"/>
  <c r="H67" i="1"/>
  <c r="H65" i="1"/>
  <c r="H78" i="1"/>
  <c r="H76" i="1"/>
  <c r="H74" i="1"/>
  <c r="H72" i="1"/>
  <c r="H70" i="1"/>
  <c r="H68" i="1"/>
  <c r="H66" i="1"/>
  <c r="H64" i="1"/>
  <c r="L79" i="1"/>
  <c r="L77" i="1"/>
  <c r="L75" i="1"/>
  <c r="L73" i="1"/>
  <c r="L71" i="1"/>
  <c r="L69" i="1"/>
  <c r="L67" i="1"/>
  <c r="L65" i="1"/>
  <c r="L78" i="1"/>
  <c r="L76" i="1"/>
  <c r="L74" i="1"/>
  <c r="L72" i="1"/>
  <c r="L70" i="1"/>
  <c r="L68" i="1"/>
  <c r="L66" i="1"/>
  <c r="L64" i="1"/>
  <c r="P79" i="1"/>
  <c r="P77" i="1"/>
  <c r="P75" i="1"/>
  <c r="P73" i="1"/>
  <c r="P71" i="1"/>
  <c r="P69" i="1"/>
  <c r="P67" i="1"/>
  <c r="P65" i="1"/>
  <c r="P78" i="1"/>
  <c r="P76" i="1"/>
  <c r="P74" i="1"/>
  <c r="P72" i="1"/>
  <c r="P70" i="1"/>
  <c r="P68" i="1"/>
  <c r="P66" i="1"/>
  <c r="P64" i="1"/>
  <c r="T79" i="1"/>
  <c r="T77" i="1"/>
  <c r="T75" i="1"/>
  <c r="T73" i="1"/>
  <c r="T71" i="1"/>
  <c r="T69" i="1"/>
  <c r="T67" i="1"/>
  <c r="T65" i="1"/>
  <c r="T78" i="1"/>
  <c r="T76" i="1"/>
  <c r="T74" i="1"/>
  <c r="T72" i="1"/>
  <c r="T70" i="1"/>
  <c r="T68" i="1"/>
  <c r="T66" i="1"/>
  <c r="T64" i="1"/>
  <c r="X79" i="1"/>
  <c r="X77" i="1"/>
  <c r="X75" i="1"/>
  <c r="X73" i="1"/>
  <c r="X71" i="1"/>
  <c r="X69" i="1"/>
  <c r="X67" i="1"/>
  <c r="X65" i="1"/>
  <c r="X78" i="1"/>
  <c r="X76" i="1"/>
  <c r="X74" i="1"/>
  <c r="X72" i="1"/>
  <c r="X70" i="1"/>
  <c r="X68" i="1"/>
  <c r="X66" i="1"/>
  <c r="X64" i="1"/>
  <c r="C100" i="1"/>
  <c r="C98" i="1"/>
  <c r="C96" i="1"/>
  <c r="C94" i="1"/>
  <c r="C92" i="1"/>
  <c r="C90" i="1"/>
  <c r="G104" i="1"/>
  <c r="O104" i="1"/>
  <c r="G101" i="1"/>
  <c r="E127" i="1"/>
  <c r="X150" i="1"/>
  <c r="X149" i="1"/>
  <c r="E343" i="1"/>
  <c r="E342" i="1"/>
  <c r="E349" i="1"/>
  <c r="E345" i="1"/>
  <c r="E341" i="1"/>
  <c r="E348" i="1"/>
  <c r="E344" i="1"/>
  <c r="E340" i="1"/>
  <c r="S346" i="1"/>
  <c r="S342" i="1"/>
  <c r="S349" i="1"/>
  <c r="S345" i="1"/>
  <c r="S341" i="1"/>
  <c r="S348" i="1"/>
  <c r="S344" i="1"/>
  <c r="S340" i="1"/>
  <c r="S347" i="1"/>
  <c r="S343" i="1"/>
  <c r="F326" i="1"/>
  <c r="F325" i="1"/>
  <c r="F321" i="1"/>
  <c r="F319" i="1"/>
  <c r="F324" i="1"/>
  <c r="F323" i="1"/>
  <c r="F317" i="1"/>
  <c r="F315" i="1"/>
  <c r="F322" i="1"/>
  <c r="F314" i="1"/>
  <c r="F320" i="1"/>
  <c r="F316" i="1"/>
  <c r="F327" i="1"/>
  <c r="F318" i="1"/>
  <c r="N322" i="1"/>
  <c r="N321" i="1"/>
  <c r="N319" i="1"/>
  <c r="N317" i="1"/>
  <c r="N315" i="1"/>
  <c r="N326" i="1"/>
  <c r="N325" i="1"/>
  <c r="N314" i="1"/>
  <c r="N320" i="1"/>
  <c r="N327" i="1"/>
  <c r="N324" i="1"/>
  <c r="N323" i="1"/>
  <c r="N316" i="1"/>
  <c r="N318" i="1"/>
  <c r="D13" i="1"/>
  <c r="X13" i="1"/>
  <c r="I24" i="1"/>
  <c r="K54" i="1"/>
  <c r="K52" i="1"/>
  <c r="K50" i="1"/>
  <c r="K48" i="1"/>
  <c r="K46" i="1"/>
  <c r="K44" i="1"/>
  <c r="K42" i="1"/>
  <c r="K53" i="1"/>
  <c r="K51" i="1"/>
  <c r="W54" i="1"/>
  <c r="W52" i="1"/>
  <c r="W50" i="1"/>
  <c r="W48" i="1"/>
  <c r="W46" i="1"/>
  <c r="W44" i="1"/>
  <c r="W42" i="1"/>
  <c r="W53" i="1"/>
  <c r="W51" i="1"/>
  <c r="G43" i="1"/>
  <c r="W43" i="1"/>
  <c r="F78" i="1"/>
  <c r="F76" i="1"/>
  <c r="F74" i="1"/>
  <c r="F72" i="1"/>
  <c r="F70" i="1"/>
  <c r="F68" i="1"/>
  <c r="F66" i="1"/>
  <c r="F64" i="1"/>
  <c r="F79" i="1"/>
  <c r="F77" i="1"/>
  <c r="F75" i="1"/>
  <c r="F73" i="1"/>
  <c r="F71" i="1"/>
  <c r="F69" i="1"/>
  <c r="F67" i="1"/>
  <c r="F65" i="1"/>
  <c r="R78" i="1"/>
  <c r="R76" i="1"/>
  <c r="R74" i="1"/>
  <c r="R72" i="1"/>
  <c r="R70" i="1"/>
  <c r="R68" i="1"/>
  <c r="R66" i="1"/>
  <c r="R64" i="1"/>
  <c r="R79" i="1"/>
  <c r="R77" i="1"/>
  <c r="R75" i="1"/>
  <c r="R73" i="1"/>
  <c r="R71" i="1"/>
  <c r="R69" i="1"/>
  <c r="R67" i="1"/>
  <c r="R65" i="1"/>
  <c r="W346" i="1"/>
  <c r="W342" i="1"/>
  <c r="W349" i="1"/>
  <c r="W345" i="1"/>
  <c r="W341" i="1"/>
  <c r="W348" i="1"/>
  <c r="W344" i="1"/>
  <c r="W340" i="1"/>
  <c r="W347" i="1"/>
  <c r="W343" i="1"/>
  <c r="G349" i="1"/>
  <c r="G345" i="1"/>
  <c r="G341" i="1"/>
  <c r="G348" i="1"/>
  <c r="G344" i="1"/>
  <c r="G340" i="1"/>
  <c r="G347" i="1"/>
  <c r="G343" i="1"/>
  <c r="G346" i="1"/>
  <c r="G342" i="1"/>
  <c r="P310" i="1"/>
  <c r="P338" i="1" s="1"/>
  <c r="D320" i="1"/>
  <c r="D318" i="1"/>
  <c r="D327" i="1"/>
  <c r="D326" i="1"/>
  <c r="D316" i="1"/>
  <c r="D314" i="1"/>
  <c r="D325" i="1"/>
  <c r="D324" i="1"/>
  <c r="D321" i="1"/>
  <c r="D323" i="1"/>
  <c r="D322" i="1"/>
  <c r="D317" i="1"/>
  <c r="D319" i="1"/>
  <c r="D315" i="1"/>
  <c r="D338" i="1"/>
  <c r="C310" i="1"/>
  <c r="H348" i="1"/>
  <c r="H344" i="1"/>
  <c r="H340" i="1"/>
  <c r="H347" i="1"/>
  <c r="H343" i="1"/>
  <c r="H346" i="1"/>
  <c r="H342" i="1"/>
  <c r="H349" i="1"/>
  <c r="H345" i="1"/>
  <c r="H341" i="1"/>
  <c r="L348" i="1"/>
  <c r="L344" i="1"/>
  <c r="L340" i="1"/>
  <c r="L347" i="1"/>
  <c r="L343" i="1"/>
  <c r="L346" i="1"/>
  <c r="L342" i="1"/>
  <c r="L349" i="1"/>
  <c r="L345" i="1"/>
  <c r="L341" i="1"/>
  <c r="Q348" i="1"/>
  <c r="Q344" i="1"/>
  <c r="Q340" i="1"/>
  <c r="Q347" i="1"/>
  <c r="Q343" i="1"/>
  <c r="Q346" i="1"/>
  <c r="Q342" i="1"/>
  <c r="Q349" i="1"/>
  <c r="Q345" i="1"/>
  <c r="Q341" i="1"/>
  <c r="C11" i="1"/>
  <c r="E326" i="1"/>
  <c r="E324" i="1"/>
  <c r="E322" i="1"/>
  <c r="E327" i="1"/>
  <c r="E316" i="1"/>
  <c r="E314" i="1"/>
  <c r="E325" i="1"/>
  <c r="E321" i="1"/>
  <c r="E319" i="1"/>
  <c r="E323" i="1"/>
  <c r="E318" i="1"/>
  <c r="E315" i="1"/>
  <c r="E320" i="1"/>
  <c r="E317" i="1"/>
  <c r="I327" i="1"/>
  <c r="I326" i="1"/>
  <c r="I324" i="1"/>
  <c r="I322" i="1"/>
  <c r="I316" i="1"/>
  <c r="I314" i="1"/>
  <c r="I321" i="1"/>
  <c r="I319" i="1"/>
  <c r="I325" i="1"/>
  <c r="I320" i="1"/>
  <c r="I317" i="1"/>
  <c r="I318" i="1"/>
  <c r="I323" i="1"/>
  <c r="I315" i="1"/>
  <c r="M327" i="1"/>
  <c r="M326" i="1"/>
  <c r="M324" i="1"/>
  <c r="M322" i="1"/>
  <c r="M323" i="1"/>
  <c r="M316" i="1"/>
  <c r="M314" i="1"/>
  <c r="M321" i="1"/>
  <c r="M319" i="1"/>
  <c r="M318" i="1"/>
  <c r="M315" i="1"/>
  <c r="M325" i="1"/>
  <c r="M320" i="1"/>
  <c r="M317" i="1"/>
  <c r="Q324" i="1"/>
  <c r="Q322" i="1"/>
  <c r="Q325" i="1"/>
  <c r="Q316" i="1"/>
  <c r="Q314" i="1"/>
  <c r="Q323" i="1"/>
  <c r="Q319" i="1"/>
  <c r="Q321" i="1"/>
  <c r="Q320" i="1"/>
  <c r="Q317" i="1"/>
  <c r="Q318" i="1"/>
  <c r="Q315" i="1"/>
  <c r="U327" i="1"/>
  <c r="U326" i="1"/>
  <c r="U324" i="1"/>
  <c r="U322" i="1"/>
  <c r="U316" i="1"/>
  <c r="U314" i="1"/>
  <c r="U325" i="1"/>
  <c r="U319" i="1"/>
  <c r="U323" i="1"/>
  <c r="U318" i="1"/>
  <c r="U321" i="1"/>
  <c r="U315" i="1"/>
  <c r="U320" i="1"/>
  <c r="U317" i="1"/>
  <c r="G13" i="1"/>
  <c r="O13" i="1"/>
  <c r="T13" i="1"/>
  <c r="D14" i="1"/>
  <c r="H14" i="1"/>
  <c r="L14" i="1"/>
  <c r="P14" i="1"/>
  <c r="T14" i="1"/>
  <c r="X14" i="1"/>
  <c r="F15" i="1"/>
  <c r="J15" i="1"/>
  <c r="N15" i="1"/>
  <c r="R15" i="1"/>
  <c r="V15" i="1"/>
  <c r="D16" i="1"/>
  <c r="H16" i="1"/>
  <c r="L16" i="1"/>
  <c r="P16" i="1"/>
  <c r="T16" i="1"/>
  <c r="X16" i="1"/>
  <c r="F17" i="1"/>
  <c r="J17" i="1"/>
  <c r="N17" i="1"/>
  <c r="R17" i="1"/>
  <c r="V17" i="1"/>
  <c r="D18" i="1"/>
  <c r="C18" i="1" s="1"/>
  <c r="H18" i="1"/>
  <c r="L18" i="1"/>
  <c r="P18" i="1"/>
  <c r="T18" i="1"/>
  <c r="X18" i="1"/>
  <c r="F19" i="1"/>
  <c r="J19" i="1"/>
  <c r="N19" i="1"/>
  <c r="R19" i="1"/>
  <c r="V19" i="1"/>
  <c r="D20" i="1"/>
  <c r="H20" i="1"/>
  <c r="L20" i="1"/>
  <c r="P20" i="1"/>
  <c r="T20" i="1"/>
  <c r="X20" i="1"/>
  <c r="F21" i="1"/>
  <c r="J21" i="1"/>
  <c r="N21" i="1"/>
  <c r="R21" i="1"/>
  <c r="V21" i="1"/>
  <c r="D22" i="1"/>
  <c r="H22" i="1"/>
  <c r="L22" i="1"/>
  <c r="P22" i="1"/>
  <c r="T22" i="1"/>
  <c r="X22" i="1"/>
  <c r="F23" i="1"/>
  <c r="J23" i="1"/>
  <c r="N23" i="1"/>
  <c r="R23" i="1"/>
  <c r="V23" i="1"/>
  <c r="D24" i="1"/>
  <c r="H24" i="1"/>
  <c r="L24" i="1"/>
  <c r="P24" i="1"/>
  <c r="T24" i="1"/>
  <c r="X24" i="1"/>
  <c r="F25" i="1"/>
  <c r="J25" i="1"/>
  <c r="N25" i="1"/>
  <c r="R25" i="1"/>
  <c r="V25" i="1"/>
  <c r="D26" i="1"/>
  <c r="C26" i="1" s="1"/>
  <c r="H26" i="1"/>
  <c r="L26" i="1"/>
  <c r="P26" i="1"/>
  <c r="T26" i="1"/>
  <c r="X26" i="1"/>
  <c r="F27" i="1"/>
  <c r="J27" i="1"/>
  <c r="N27" i="1"/>
  <c r="R27" i="1"/>
  <c r="V27" i="1"/>
  <c r="D28" i="1"/>
  <c r="H28" i="1"/>
  <c r="L28" i="1"/>
  <c r="P28" i="1"/>
  <c r="T28" i="1"/>
  <c r="X28" i="1"/>
  <c r="J29" i="1"/>
  <c r="N29" i="1"/>
  <c r="R29" i="1"/>
  <c r="V29" i="1"/>
  <c r="D38" i="1"/>
  <c r="D53" i="1" s="1"/>
  <c r="L38" i="1"/>
  <c r="L54" i="1" s="1"/>
  <c r="E39" i="1"/>
  <c r="C39" i="1" s="1"/>
  <c r="I39" i="1"/>
  <c r="M39" i="1"/>
  <c r="Q39" i="1"/>
  <c r="U39" i="1"/>
  <c r="G40" i="1"/>
  <c r="K40" i="1"/>
  <c r="O40" i="1"/>
  <c r="S40" i="1"/>
  <c r="W40" i="1"/>
  <c r="E41" i="1"/>
  <c r="C41" i="1" s="1"/>
  <c r="I41" i="1"/>
  <c r="M41" i="1"/>
  <c r="R41" i="1"/>
  <c r="W41" i="1"/>
  <c r="F42" i="1"/>
  <c r="Q42" i="1"/>
  <c r="V42" i="1"/>
  <c r="F43" i="1"/>
  <c r="K43" i="1"/>
  <c r="V43" i="1"/>
  <c r="E44" i="1"/>
  <c r="J44" i="1"/>
  <c r="U44" i="1"/>
  <c r="J45" i="1"/>
  <c r="O45" i="1"/>
  <c r="I46" i="1"/>
  <c r="N46" i="1"/>
  <c r="N47" i="1"/>
  <c r="S47" i="1"/>
  <c r="M48" i="1"/>
  <c r="R48" i="1"/>
  <c r="G49" i="1"/>
  <c r="L49" i="1"/>
  <c r="R49" i="1"/>
  <c r="W49" i="1"/>
  <c r="F50" i="1"/>
  <c r="R50" i="1"/>
  <c r="E78" i="1"/>
  <c r="I78" i="1"/>
  <c r="M78" i="1"/>
  <c r="Q78" i="1"/>
  <c r="AA63" i="1"/>
  <c r="S63" i="1"/>
  <c r="D104" i="1"/>
  <c r="H104" i="1"/>
  <c r="T104" i="1"/>
  <c r="X104" i="1"/>
  <c r="Q100" i="1"/>
  <c r="S127" i="1"/>
  <c r="M115" i="1"/>
  <c r="M117" i="1"/>
  <c r="Q121" i="1"/>
  <c r="E123" i="1"/>
  <c r="M127" i="1"/>
  <c r="G63" i="1"/>
  <c r="C63" i="1" s="1"/>
  <c r="C77" i="1" s="1"/>
  <c r="O63" i="1"/>
  <c r="C87" i="1"/>
  <c r="E88" i="1"/>
  <c r="I88" i="1"/>
  <c r="M88" i="1"/>
  <c r="Q88" i="1"/>
  <c r="V88" i="1"/>
  <c r="V313" i="1" s="1"/>
  <c r="D89" i="1"/>
  <c r="C89" i="1" s="1"/>
  <c r="H89" i="1"/>
  <c r="L89" i="1"/>
  <c r="P89" i="1"/>
  <c r="T89" i="1"/>
  <c r="X89" i="1"/>
  <c r="D91" i="1"/>
  <c r="H91" i="1"/>
  <c r="L91" i="1"/>
  <c r="P91" i="1"/>
  <c r="T91" i="1"/>
  <c r="X91" i="1"/>
  <c r="D93" i="1"/>
  <c r="C93" i="1" s="1"/>
  <c r="H93" i="1"/>
  <c r="L93" i="1"/>
  <c r="P93" i="1"/>
  <c r="T93" i="1"/>
  <c r="X93" i="1"/>
  <c r="D95" i="1"/>
  <c r="H95" i="1"/>
  <c r="L95" i="1"/>
  <c r="P95" i="1"/>
  <c r="T95" i="1"/>
  <c r="X95" i="1"/>
  <c r="D97" i="1"/>
  <c r="H97" i="1"/>
  <c r="L97" i="1"/>
  <c r="P97" i="1"/>
  <c r="T97" i="1"/>
  <c r="X97" i="1"/>
  <c r="D99" i="1"/>
  <c r="H99" i="1"/>
  <c r="L99" i="1"/>
  <c r="P99" i="1"/>
  <c r="T99" i="1"/>
  <c r="X99" i="1"/>
  <c r="D101" i="1"/>
  <c r="C101" i="1" s="1"/>
  <c r="H101" i="1"/>
  <c r="L101" i="1"/>
  <c r="P101" i="1"/>
  <c r="T101" i="1"/>
  <c r="X101" i="1"/>
  <c r="D103" i="1"/>
  <c r="H103" i="1"/>
  <c r="L103" i="1"/>
  <c r="P103" i="1"/>
  <c r="T103" i="1"/>
  <c r="X103" i="1"/>
  <c r="C111" i="1"/>
  <c r="F128" i="1"/>
  <c r="F126" i="1"/>
  <c r="F124" i="1"/>
  <c r="F122" i="1"/>
  <c r="F120" i="1"/>
  <c r="F118" i="1"/>
  <c r="F116" i="1"/>
  <c r="F129" i="1"/>
  <c r="F127" i="1"/>
  <c r="F125" i="1"/>
  <c r="F123" i="1"/>
  <c r="F121" i="1"/>
  <c r="F119" i="1"/>
  <c r="J128" i="1"/>
  <c r="J126" i="1"/>
  <c r="J124" i="1"/>
  <c r="J122" i="1"/>
  <c r="J120" i="1"/>
  <c r="J118" i="1"/>
  <c r="J116" i="1"/>
  <c r="J129" i="1"/>
  <c r="J127" i="1"/>
  <c r="J125" i="1"/>
  <c r="J123" i="1"/>
  <c r="J121" i="1"/>
  <c r="J119" i="1"/>
  <c r="N128" i="1"/>
  <c r="N126" i="1"/>
  <c r="N124" i="1"/>
  <c r="N122" i="1"/>
  <c r="N120" i="1"/>
  <c r="N118" i="1"/>
  <c r="N116" i="1"/>
  <c r="N129" i="1"/>
  <c r="N127" i="1"/>
  <c r="N125" i="1"/>
  <c r="N123" i="1"/>
  <c r="N121" i="1"/>
  <c r="N119" i="1"/>
  <c r="R128" i="1"/>
  <c r="R126" i="1"/>
  <c r="R124" i="1"/>
  <c r="R122" i="1"/>
  <c r="R120" i="1"/>
  <c r="R118" i="1"/>
  <c r="R116" i="1"/>
  <c r="R129" i="1"/>
  <c r="R127" i="1"/>
  <c r="R125" i="1"/>
  <c r="R123" i="1"/>
  <c r="R121" i="1"/>
  <c r="R119" i="1"/>
  <c r="V128" i="1"/>
  <c r="V126" i="1"/>
  <c r="V124" i="1"/>
  <c r="V122" i="1"/>
  <c r="V120" i="1"/>
  <c r="V118" i="1"/>
  <c r="V116" i="1"/>
  <c r="V129" i="1"/>
  <c r="V127" i="1"/>
  <c r="V125" i="1"/>
  <c r="V123" i="1"/>
  <c r="V121" i="1"/>
  <c r="V119" i="1"/>
  <c r="V117" i="1"/>
  <c r="F115" i="1"/>
  <c r="J115" i="1"/>
  <c r="N115" i="1"/>
  <c r="R115" i="1"/>
  <c r="V115" i="1"/>
  <c r="O116" i="1"/>
  <c r="N117" i="1"/>
  <c r="S117" i="1"/>
  <c r="G119" i="1"/>
  <c r="O119" i="1"/>
  <c r="W119" i="1"/>
  <c r="K121" i="1"/>
  <c r="S121" i="1"/>
  <c r="G123" i="1"/>
  <c r="O123" i="1"/>
  <c r="W123" i="1"/>
  <c r="K125" i="1"/>
  <c r="S125" i="1"/>
  <c r="G127" i="1"/>
  <c r="O127" i="1"/>
  <c r="W127" i="1"/>
  <c r="K129" i="1"/>
  <c r="S129" i="1"/>
  <c r="D152" i="1"/>
  <c r="D138" i="1"/>
  <c r="C136" i="1"/>
  <c r="L152" i="1"/>
  <c r="L138" i="1"/>
  <c r="L154" i="1" s="1"/>
  <c r="G153" i="1"/>
  <c r="G151" i="1"/>
  <c r="G149" i="1"/>
  <c r="G147" i="1"/>
  <c r="G152" i="1"/>
  <c r="G150" i="1"/>
  <c r="G146" i="1"/>
  <c r="G144" i="1"/>
  <c r="G142" i="1"/>
  <c r="G154" i="1"/>
  <c r="G148" i="1"/>
  <c r="K153" i="1"/>
  <c r="K151" i="1"/>
  <c r="K149" i="1"/>
  <c r="K147" i="1"/>
  <c r="K154" i="1"/>
  <c r="K146" i="1"/>
  <c r="K144" i="1"/>
  <c r="K142" i="1"/>
  <c r="K152" i="1"/>
  <c r="K150" i="1"/>
  <c r="O153" i="1"/>
  <c r="O151" i="1"/>
  <c r="O149" i="1"/>
  <c r="O147" i="1"/>
  <c r="O152" i="1"/>
  <c r="O148" i="1"/>
  <c r="O146" i="1"/>
  <c r="O144" i="1"/>
  <c r="O142" i="1"/>
  <c r="O154" i="1"/>
  <c r="S153" i="1"/>
  <c r="S151" i="1"/>
  <c r="S149" i="1"/>
  <c r="S147" i="1"/>
  <c r="S154" i="1"/>
  <c r="S150" i="1"/>
  <c r="S148" i="1"/>
  <c r="S144" i="1"/>
  <c r="S142" i="1"/>
  <c r="S152" i="1"/>
  <c r="S146" i="1"/>
  <c r="W153" i="1"/>
  <c r="W151" i="1"/>
  <c r="W149" i="1"/>
  <c r="W147" i="1"/>
  <c r="W152" i="1"/>
  <c r="W144" i="1"/>
  <c r="W142" i="1"/>
  <c r="W154" i="1"/>
  <c r="W150" i="1"/>
  <c r="W148" i="1"/>
  <c r="S139" i="1"/>
  <c r="S141" i="1"/>
  <c r="G143" i="1"/>
  <c r="W143" i="1"/>
  <c r="K145" i="1"/>
  <c r="O150" i="1"/>
  <c r="P152" i="1"/>
  <c r="G96" i="1"/>
  <c r="K96" i="1"/>
  <c r="O96" i="1"/>
  <c r="S96" i="1"/>
  <c r="W96" i="1"/>
  <c r="G98" i="1"/>
  <c r="K98" i="1"/>
  <c r="O98" i="1"/>
  <c r="S98" i="1"/>
  <c r="W98" i="1"/>
  <c r="G100" i="1"/>
  <c r="K100" i="1"/>
  <c r="O100" i="1"/>
  <c r="S100" i="1"/>
  <c r="W100" i="1"/>
  <c r="U101" i="1"/>
  <c r="G102" i="1"/>
  <c r="K102" i="1"/>
  <c r="O102" i="1"/>
  <c r="S102" i="1"/>
  <c r="W102" i="1"/>
  <c r="G115" i="1"/>
  <c r="K115" i="1"/>
  <c r="O115" i="1"/>
  <c r="S115" i="1"/>
  <c r="W115" i="1"/>
  <c r="K116" i="1"/>
  <c r="J117" i="1"/>
  <c r="O117" i="1"/>
  <c r="G118" i="1"/>
  <c r="O118" i="1"/>
  <c r="W118" i="1"/>
  <c r="K120" i="1"/>
  <c r="S120" i="1"/>
  <c r="G122" i="1"/>
  <c r="O122" i="1"/>
  <c r="W122" i="1"/>
  <c r="K124" i="1"/>
  <c r="S124" i="1"/>
  <c r="G126" i="1"/>
  <c r="O126" i="1"/>
  <c r="W126" i="1"/>
  <c r="K128" i="1"/>
  <c r="S128" i="1"/>
  <c r="L149" i="1"/>
  <c r="P150" i="1"/>
  <c r="O139" i="1"/>
  <c r="K140" i="1"/>
  <c r="S140" i="1"/>
  <c r="G141" i="1"/>
  <c r="W141" i="1"/>
  <c r="K143" i="1"/>
  <c r="O145" i="1"/>
  <c r="W146" i="1"/>
  <c r="D204" i="1"/>
  <c r="D202" i="1"/>
  <c r="D200" i="1"/>
  <c r="D198" i="1"/>
  <c r="D196" i="1"/>
  <c r="D194" i="1"/>
  <c r="D195" i="1"/>
  <c r="D191" i="1"/>
  <c r="D189" i="1"/>
  <c r="C187" i="1"/>
  <c r="D201" i="1"/>
  <c r="D193" i="1"/>
  <c r="D199" i="1"/>
  <c r="D192" i="1"/>
  <c r="D190" i="1"/>
  <c r="H204" i="1"/>
  <c r="H202" i="1"/>
  <c r="H200" i="1"/>
  <c r="H198" i="1"/>
  <c r="H196" i="1"/>
  <c r="H194" i="1"/>
  <c r="H197" i="1"/>
  <c r="H191" i="1"/>
  <c r="H189" i="1"/>
  <c r="H203" i="1"/>
  <c r="H195" i="1"/>
  <c r="H193" i="1"/>
  <c r="H192" i="1"/>
  <c r="H190" i="1"/>
  <c r="H201" i="1"/>
  <c r="L204" i="1"/>
  <c r="L202" i="1"/>
  <c r="L200" i="1"/>
  <c r="L198" i="1"/>
  <c r="L196" i="1"/>
  <c r="L194" i="1"/>
  <c r="L199" i="1"/>
  <c r="L191" i="1"/>
  <c r="L189" i="1"/>
  <c r="L201" i="1"/>
  <c r="L197" i="1"/>
  <c r="L195" i="1"/>
  <c r="L192" i="1"/>
  <c r="L190" i="1"/>
  <c r="L203" i="1"/>
  <c r="L193" i="1"/>
  <c r="P204" i="1"/>
  <c r="P202" i="1"/>
  <c r="P200" i="1"/>
  <c r="P198" i="1"/>
  <c r="P196" i="1"/>
  <c r="P194" i="1"/>
  <c r="P193" i="1"/>
  <c r="P191" i="1"/>
  <c r="P189" i="1"/>
  <c r="P203" i="1"/>
  <c r="P199" i="1"/>
  <c r="P197" i="1"/>
  <c r="P192" i="1"/>
  <c r="P190" i="1"/>
  <c r="P195" i="1"/>
  <c r="T204" i="1"/>
  <c r="T202" i="1"/>
  <c r="T200" i="1"/>
  <c r="T198" i="1"/>
  <c r="T196" i="1"/>
  <c r="T194" i="1"/>
  <c r="T195" i="1"/>
  <c r="T191" i="1"/>
  <c r="T189" i="1"/>
  <c r="T201" i="1"/>
  <c r="T193" i="1"/>
  <c r="T192" i="1"/>
  <c r="T190" i="1"/>
  <c r="T203" i="1"/>
  <c r="T199" i="1"/>
  <c r="X204" i="1"/>
  <c r="X202" i="1"/>
  <c r="X200" i="1"/>
  <c r="X198" i="1"/>
  <c r="X196" i="1"/>
  <c r="X194" i="1"/>
  <c r="X192" i="1"/>
  <c r="X197" i="1"/>
  <c r="X191" i="1"/>
  <c r="X189" i="1"/>
  <c r="X203" i="1"/>
  <c r="X199" i="1"/>
  <c r="X195" i="1"/>
  <c r="X193" i="1"/>
  <c r="X190" i="1"/>
  <c r="X201" i="1"/>
  <c r="D197" i="1"/>
  <c r="T197" i="1"/>
  <c r="W311" i="1"/>
  <c r="W330" i="1" s="1"/>
  <c r="D90" i="1"/>
  <c r="H90" i="1"/>
  <c r="L90" i="1"/>
  <c r="P90" i="1"/>
  <c r="T90" i="1"/>
  <c r="X90" i="1"/>
  <c r="D92" i="1"/>
  <c r="H92" i="1"/>
  <c r="L92" i="1"/>
  <c r="P92" i="1"/>
  <c r="T92" i="1"/>
  <c r="X92" i="1"/>
  <c r="D94" i="1"/>
  <c r="H94" i="1"/>
  <c r="L94" i="1"/>
  <c r="P94" i="1"/>
  <c r="T94" i="1"/>
  <c r="X94" i="1"/>
  <c r="D96" i="1"/>
  <c r="H96" i="1"/>
  <c r="L96" i="1"/>
  <c r="P96" i="1"/>
  <c r="T96" i="1"/>
  <c r="X96" i="1"/>
  <c r="D98" i="1"/>
  <c r="H98" i="1"/>
  <c r="L98" i="1"/>
  <c r="P98" i="1"/>
  <c r="T98" i="1"/>
  <c r="X98" i="1"/>
  <c r="D100" i="1"/>
  <c r="H100" i="1"/>
  <c r="L100" i="1"/>
  <c r="P100" i="1"/>
  <c r="T100" i="1"/>
  <c r="X100" i="1"/>
  <c r="D102" i="1"/>
  <c r="H102" i="1"/>
  <c r="L102" i="1"/>
  <c r="P102" i="1"/>
  <c r="T102" i="1"/>
  <c r="X102" i="1"/>
  <c r="D129" i="1"/>
  <c r="D127" i="1"/>
  <c r="D125" i="1"/>
  <c r="D123" i="1"/>
  <c r="D121" i="1"/>
  <c r="D119" i="1"/>
  <c r="D117" i="1"/>
  <c r="D128" i="1"/>
  <c r="D126" i="1"/>
  <c r="D124" i="1"/>
  <c r="D122" i="1"/>
  <c r="D120" i="1"/>
  <c r="D118" i="1"/>
  <c r="H129" i="1"/>
  <c r="H127" i="1"/>
  <c r="H125" i="1"/>
  <c r="H123" i="1"/>
  <c r="H121" i="1"/>
  <c r="H119" i="1"/>
  <c r="H117" i="1"/>
  <c r="H128" i="1"/>
  <c r="H126" i="1"/>
  <c r="H124" i="1"/>
  <c r="H122" i="1"/>
  <c r="H120" i="1"/>
  <c r="H118" i="1"/>
  <c r="L129" i="1"/>
  <c r="L127" i="1"/>
  <c r="L125" i="1"/>
  <c r="L123" i="1"/>
  <c r="L121" i="1"/>
  <c r="L119" i="1"/>
  <c r="L117" i="1"/>
  <c r="L128" i="1"/>
  <c r="L126" i="1"/>
  <c r="L124" i="1"/>
  <c r="L122" i="1"/>
  <c r="L120" i="1"/>
  <c r="L118" i="1"/>
  <c r="P129" i="1"/>
  <c r="P127" i="1"/>
  <c r="P125" i="1"/>
  <c r="P123" i="1"/>
  <c r="P121" i="1"/>
  <c r="P119" i="1"/>
  <c r="P117" i="1"/>
  <c r="P128" i="1"/>
  <c r="P126" i="1"/>
  <c r="P124" i="1"/>
  <c r="P122" i="1"/>
  <c r="P120" i="1"/>
  <c r="P118" i="1"/>
  <c r="T129" i="1"/>
  <c r="T127" i="1"/>
  <c r="T125" i="1"/>
  <c r="T123" i="1"/>
  <c r="T121" i="1"/>
  <c r="T119" i="1"/>
  <c r="T117" i="1"/>
  <c r="T128" i="1"/>
  <c r="T126" i="1"/>
  <c r="T124" i="1"/>
  <c r="T122" i="1"/>
  <c r="T120" i="1"/>
  <c r="T118" i="1"/>
  <c r="X129" i="1"/>
  <c r="X127" i="1"/>
  <c r="X125" i="1"/>
  <c r="X123" i="1"/>
  <c r="X121" i="1"/>
  <c r="X119" i="1"/>
  <c r="X117" i="1"/>
  <c r="X128" i="1"/>
  <c r="X126" i="1"/>
  <c r="X124" i="1"/>
  <c r="X122" i="1"/>
  <c r="X120" i="1"/>
  <c r="X118" i="1"/>
  <c r="F114" i="1"/>
  <c r="J114" i="1"/>
  <c r="N114" i="1"/>
  <c r="R114" i="1"/>
  <c r="V114" i="1"/>
  <c r="D115" i="1"/>
  <c r="H115" i="1"/>
  <c r="L115" i="1"/>
  <c r="P115" i="1"/>
  <c r="T115" i="1"/>
  <c r="X115" i="1"/>
  <c r="G116" i="1"/>
  <c r="L116" i="1"/>
  <c r="W116" i="1"/>
  <c r="F117" i="1"/>
  <c r="K117" i="1"/>
  <c r="W117" i="1"/>
  <c r="K119" i="1"/>
  <c r="S119" i="1"/>
  <c r="G121" i="1"/>
  <c r="O121" i="1"/>
  <c r="W121" i="1"/>
  <c r="K123" i="1"/>
  <c r="S123" i="1"/>
  <c r="G125" i="1"/>
  <c r="O125" i="1"/>
  <c r="W125" i="1"/>
  <c r="E154" i="1"/>
  <c r="E152" i="1"/>
  <c r="E150" i="1"/>
  <c r="E148" i="1"/>
  <c r="E151" i="1"/>
  <c r="E147" i="1"/>
  <c r="E145" i="1"/>
  <c r="E143" i="1"/>
  <c r="E141" i="1"/>
  <c r="E153" i="1"/>
  <c r="I154" i="1"/>
  <c r="I152" i="1"/>
  <c r="I150" i="1"/>
  <c r="I148" i="1"/>
  <c r="I153" i="1"/>
  <c r="I149" i="1"/>
  <c r="I147" i="1"/>
  <c r="I145" i="1"/>
  <c r="I143" i="1"/>
  <c r="I141" i="1"/>
  <c r="I151" i="1"/>
  <c r="M154" i="1"/>
  <c r="M152" i="1"/>
  <c r="M150" i="1"/>
  <c r="M148" i="1"/>
  <c r="M151" i="1"/>
  <c r="M149" i="1"/>
  <c r="M145" i="1"/>
  <c r="M143" i="1"/>
  <c r="M141" i="1"/>
  <c r="M153" i="1"/>
  <c r="M147" i="1"/>
  <c r="Q154" i="1"/>
  <c r="Q152" i="1"/>
  <c r="Q150" i="1"/>
  <c r="Q148" i="1"/>
  <c r="Q146" i="1"/>
  <c r="Q153" i="1"/>
  <c r="Q145" i="1"/>
  <c r="Q143" i="1"/>
  <c r="Q141" i="1"/>
  <c r="Q151" i="1"/>
  <c r="Q149" i="1"/>
  <c r="U154" i="1"/>
  <c r="U152" i="1"/>
  <c r="U150" i="1"/>
  <c r="U148" i="1"/>
  <c r="U146" i="1"/>
  <c r="U151" i="1"/>
  <c r="U147" i="1"/>
  <c r="U145" i="1"/>
  <c r="U143" i="1"/>
  <c r="U141" i="1"/>
  <c r="U153" i="1"/>
  <c r="E139" i="1"/>
  <c r="K139" i="1"/>
  <c r="U139" i="1"/>
  <c r="E140" i="1"/>
  <c r="M140" i="1"/>
  <c r="U140" i="1"/>
  <c r="K141" i="1"/>
  <c r="E142" i="1"/>
  <c r="U142" i="1"/>
  <c r="O143" i="1"/>
  <c r="I144" i="1"/>
  <c r="S145" i="1"/>
  <c r="M146" i="1"/>
  <c r="Q147" i="1"/>
  <c r="G178" i="1"/>
  <c r="S229" i="1"/>
  <c r="S228" i="1"/>
  <c r="F154" i="1"/>
  <c r="F152" i="1"/>
  <c r="J154" i="1"/>
  <c r="J152" i="1"/>
  <c r="N154" i="1"/>
  <c r="N152" i="1"/>
  <c r="R154" i="1"/>
  <c r="R152" i="1"/>
  <c r="V154" i="1"/>
  <c r="V152" i="1"/>
  <c r="V150" i="1"/>
  <c r="F140" i="1"/>
  <c r="J140" i="1"/>
  <c r="N140" i="1"/>
  <c r="R140" i="1"/>
  <c r="V140" i="1"/>
  <c r="D141" i="1"/>
  <c r="H141" i="1"/>
  <c r="L141" i="1"/>
  <c r="P141" i="1"/>
  <c r="T141" i="1"/>
  <c r="X141" i="1"/>
  <c r="F142" i="1"/>
  <c r="J142" i="1"/>
  <c r="N142" i="1"/>
  <c r="R142" i="1"/>
  <c r="V142" i="1"/>
  <c r="D143" i="1"/>
  <c r="H143" i="1"/>
  <c r="L143" i="1"/>
  <c r="P143" i="1"/>
  <c r="T143" i="1"/>
  <c r="X143" i="1"/>
  <c r="F144" i="1"/>
  <c r="J144" i="1"/>
  <c r="N144" i="1"/>
  <c r="R144" i="1"/>
  <c r="V144" i="1"/>
  <c r="H145" i="1"/>
  <c r="C145" i="1" s="1"/>
  <c r="L145" i="1"/>
  <c r="P145" i="1"/>
  <c r="X145" i="1"/>
  <c r="F146" i="1"/>
  <c r="J146" i="1"/>
  <c r="N146" i="1"/>
  <c r="X146" i="1"/>
  <c r="R147" i="1"/>
  <c r="L148" i="1"/>
  <c r="R148" i="1"/>
  <c r="F149" i="1"/>
  <c r="V149" i="1"/>
  <c r="F150" i="1"/>
  <c r="D176" i="1"/>
  <c r="D174" i="1"/>
  <c r="D172" i="1"/>
  <c r="D170" i="1"/>
  <c r="D168" i="1"/>
  <c r="D166" i="1"/>
  <c r="D164" i="1"/>
  <c r="C162" i="1"/>
  <c r="D177" i="1"/>
  <c r="D175" i="1"/>
  <c r="D173" i="1"/>
  <c r="D171" i="1"/>
  <c r="H178" i="1"/>
  <c r="H176" i="1"/>
  <c r="H174" i="1"/>
  <c r="H172" i="1"/>
  <c r="H170" i="1"/>
  <c r="H168" i="1"/>
  <c r="H166" i="1"/>
  <c r="H164" i="1"/>
  <c r="H179" i="1"/>
  <c r="H177" i="1"/>
  <c r="H175" i="1"/>
  <c r="H173" i="1"/>
  <c r="H171" i="1"/>
  <c r="L178" i="1"/>
  <c r="L176" i="1"/>
  <c r="L174" i="1"/>
  <c r="L172" i="1"/>
  <c r="L170" i="1"/>
  <c r="L168" i="1"/>
  <c r="L166" i="1"/>
  <c r="L164" i="1"/>
  <c r="L179" i="1"/>
  <c r="L177" i="1"/>
  <c r="L175" i="1"/>
  <c r="L173" i="1"/>
  <c r="L171" i="1"/>
  <c r="P178" i="1"/>
  <c r="P176" i="1"/>
  <c r="P174" i="1"/>
  <c r="P172" i="1"/>
  <c r="P170" i="1"/>
  <c r="P168" i="1"/>
  <c r="P166" i="1"/>
  <c r="P164" i="1"/>
  <c r="P179" i="1"/>
  <c r="P177" i="1"/>
  <c r="P175" i="1"/>
  <c r="P173" i="1"/>
  <c r="P171" i="1"/>
  <c r="T178" i="1"/>
  <c r="T176" i="1"/>
  <c r="T174" i="1"/>
  <c r="T172" i="1"/>
  <c r="T170" i="1"/>
  <c r="T168" i="1"/>
  <c r="T166" i="1"/>
  <c r="T164" i="1"/>
  <c r="T179" i="1"/>
  <c r="T177" i="1"/>
  <c r="T175" i="1"/>
  <c r="T173" i="1"/>
  <c r="T171" i="1"/>
  <c r="X178" i="1"/>
  <c r="X176" i="1"/>
  <c r="X174" i="1"/>
  <c r="X172" i="1"/>
  <c r="X170" i="1"/>
  <c r="X168" i="1"/>
  <c r="X166" i="1"/>
  <c r="X164" i="1"/>
  <c r="X179" i="1"/>
  <c r="X177" i="1"/>
  <c r="X175" i="1"/>
  <c r="X173" i="1"/>
  <c r="X171" i="1"/>
  <c r="D165" i="1"/>
  <c r="T165" i="1"/>
  <c r="E166" i="1"/>
  <c r="M166" i="1"/>
  <c r="U166" i="1"/>
  <c r="P167" i="1"/>
  <c r="L169" i="1"/>
  <c r="I170" i="1"/>
  <c r="U174" i="1"/>
  <c r="E176" i="1"/>
  <c r="C185" i="1"/>
  <c r="C186" i="1"/>
  <c r="D188" i="1"/>
  <c r="D203" i="1" s="1"/>
  <c r="C203" i="1" s="1"/>
  <c r="H229" i="1"/>
  <c r="H228" i="1"/>
  <c r="C147" i="1"/>
  <c r="C160" i="1"/>
  <c r="C161" i="1"/>
  <c r="D163" i="1"/>
  <c r="E179" i="1"/>
  <c r="E177" i="1"/>
  <c r="E175" i="1"/>
  <c r="E173" i="1"/>
  <c r="E171" i="1"/>
  <c r="E169" i="1"/>
  <c r="E167" i="1"/>
  <c r="E165" i="1"/>
  <c r="I179" i="1"/>
  <c r="I177" i="1"/>
  <c r="I175" i="1"/>
  <c r="I173" i="1"/>
  <c r="I171" i="1"/>
  <c r="I169" i="1"/>
  <c r="I167" i="1"/>
  <c r="I165" i="1"/>
  <c r="M179" i="1"/>
  <c r="M177" i="1"/>
  <c r="M175" i="1"/>
  <c r="M173" i="1"/>
  <c r="M171" i="1"/>
  <c r="M169" i="1"/>
  <c r="M167" i="1"/>
  <c r="M165" i="1"/>
  <c r="Q179" i="1"/>
  <c r="Q177" i="1"/>
  <c r="Q175" i="1"/>
  <c r="Q173" i="1"/>
  <c r="Q171" i="1"/>
  <c r="Q169" i="1"/>
  <c r="Q167" i="1"/>
  <c r="Q165" i="1"/>
  <c r="U179" i="1"/>
  <c r="U177" i="1"/>
  <c r="U175" i="1"/>
  <c r="U173" i="1"/>
  <c r="U171" i="1"/>
  <c r="U169" i="1"/>
  <c r="U167" i="1"/>
  <c r="U165" i="1"/>
  <c r="E164" i="1"/>
  <c r="M164" i="1"/>
  <c r="U164" i="1"/>
  <c r="I168" i="1"/>
  <c r="Q168" i="1"/>
  <c r="I172" i="1"/>
  <c r="Q172" i="1"/>
  <c r="M174" i="1"/>
  <c r="I178" i="1"/>
  <c r="U178" i="1"/>
  <c r="P253" i="1"/>
  <c r="P254" i="1"/>
  <c r="D153" i="1"/>
  <c r="D151" i="1"/>
  <c r="H153" i="1"/>
  <c r="H151" i="1"/>
  <c r="L153" i="1"/>
  <c r="L151" i="1"/>
  <c r="P153" i="1"/>
  <c r="P151" i="1"/>
  <c r="T153" i="1"/>
  <c r="T151" i="1"/>
  <c r="X153" i="1"/>
  <c r="X151" i="1"/>
  <c r="F139" i="1"/>
  <c r="J139" i="1"/>
  <c r="N139" i="1"/>
  <c r="R139" i="1"/>
  <c r="V139" i="1"/>
  <c r="D140" i="1"/>
  <c r="H140" i="1"/>
  <c r="L140" i="1"/>
  <c r="P140" i="1"/>
  <c r="T140" i="1"/>
  <c r="X140" i="1"/>
  <c r="F141" i="1"/>
  <c r="J141" i="1"/>
  <c r="N141" i="1"/>
  <c r="R141" i="1"/>
  <c r="V141" i="1"/>
  <c r="D142" i="1"/>
  <c r="H142" i="1"/>
  <c r="L142" i="1"/>
  <c r="P142" i="1"/>
  <c r="T142" i="1"/>
  <c r="X142" i="1"/>
  <c r="F143" i="1"/>
  <c r="J143" i="1"/>
  <c r="N143" i="1"/>
  <c r="R143" i="1"/>
  <c r="V143" i="1"/>
  <c r="D144" i="1"/>
  <c r="H144" i="1"/>
  <c r="L144" i="1"/>
  <c r="P144" i="1"/>
  <c r="T144" i="1"/>
  <c r="X144" i="1"/>
  <c r="F145" i="1"/>
  <c r="J145" i="1"/>
  <c r="N145" i="1"/>
  <c r="R145" i="1"/>
  <c r="V145" i="1"/>
  <c r="D146" i="1"/>
  <c r="H146" i="1"/>
  <c r="L146" i="1"/>
  <c r="P146" i="1"/>
  <c r="V146" i="1"/>
  <c r="J147" i="1"/>
  <c r="P147" i="1"/>
  <c r="D148" i="1"/>
  <c r="J148" i="1"/>
  <c r="T148" i="1"/>
  <c r="D149" i="1"/>
  <c r="N149" i="1"/>
  <c r="T149" i="1"/>
  <c r="H150" i="1"/>
  <c r="N150" i="1"/>
  <c r="J179" i="1"/>
  <c r="N179" i="1"/>
  <c r="L165" i="1"/>
  <c r="I166" i="1"/>
  <c r="Q166" i="1"/>
  <c r="H167" i="1"/>
  <c r="X167" i="1"/>
  <c r="D169" i="1"/>
  <c r="T169" i="1"/>
  <c r="E170" i="1"/>
  <c r="M170" i="1"/>
  <c r="U170" i="1"/>
  <c r="Q174" i="1"/>
  <c r="I176" i="1"/>
  <c r="Q176" i="1"/>
  <c r="M178" i="1"/>
  <c r="G278" i="1"/>
  <c r="G279" i="1"/>
  <c r="E203" i="1"/>
  <c r="E201" i="1"/>
  <c r="I203" i="1"/>
  <c r="I201" i="1"/>
  <c r="M203" i="1"/>
  <c r="M201" i="1"/>
  <c r="Q203" i="1"/>
  <c r="Q201" i="1"/>
  <c r="Q199" i="1"/>
  <c r="U203" i="1"/>
  <c r="U201" i="1"/>
  <c r="U199" i="1"/>
  <c r="M193" i="1"/>
  <c r="M194" i="1"/>
  <c r="Q195" i="1"/>
  <c r="Q196" i="1"/>
  <c r="E197" i="1"/>
  <c r="U197" i="1"/>
  <c r="E198" i="1"/>
  <c r="U198" i="1"/>
  <c r="I199" i="1"/>
  <c r="I200" i="1"/>
  <c r="Q200" i="1"/>
  <c r="E202" i="1"/>
  <c r="M202" i="1"/>
  <c r="U202" i="1"/>
  <c r="G203" i="1"/>
  <c r="O203" i="1"/>
  <c r="W203" i="1"/>
  <c r="I204" i="1"/>
  <c r="Q204" i="1"/>
  <c r="L225" i="1"/>
  <c r="L224" i="1"/>
  <c r="P225" i="1"/>
  <c r="P224" i="1"/>
  <c r="X225" i="1"/>
  <c r="X224" i="1"/>
  <c r="F226" i="1"/>
  <c r="F213" i="1"/>
  <c r="F227" i="1"/>
  <c r="J226" i="1"/>
  <c r="J227" i="1"/>
  <c r="N226" i="1"/>
  <c r="N213" i="1"/>
  <c r="N227" i="1"/>
  <c r="R311" i="1"/>
  <c r="R330" i="1" s="1"/>
  <c r="R226" i="1"/>
  <c r="R213" i="1"/>
  <c r="R227" i="1"/>
  <c r="W227" i="1"/>
  <c r="W213" i="1"/>
  <c r="D229" i="1"/>
  <c r="D228" i="1"/>
  <c r="T229" i="1"/>
  <c r="T228" i="1"/>
  <c r="D253" i="1"/>
  <c r="F304" i="1"/>
  <c r="F303" i="1"/>
  <c r="G164" i="1"/>
  <c r="K164" i="1"/>
  <c r="O164" i="1"/>
  <c r="S164" i="1"/>
  <c r="W164" i="1"/>
  <c r="G166" i="1"/>
  <c r="K166" i="1"/>
  <c r="O166" i="1"/>
  <c r="S166" i="1"/>
  <c r="W166" i="1"/>
  <c r="G168" i="1"/>
  <c r="K168" i="1"/>
  <c r="O168" i="1"/>
  <c r="S168" i="1"/>
  <c r="W168" i="1"/>
  <c r="G170" i="1"/>
  <c r="K170" i="1"/>
  <c r="O170" i="1"/>
  <c r="S170" i="1"/>
  <c r="W170" i="1"/>
  <c r="G172" i="1"/>
  <c r="K172" i="1"/>
  <c r="O172" i="1"/>
  <c r="S172" i="1"/>
  <c r="W172" i="1"/>
  <c r="G174" i="1"/>
  <c r="K174" i="1"/>
  <c r="O174" i="1"/>
  <c r="S174" i="1"/>
  <c r="W174" i="1"/>
  <c r="G176" i="1"/>
  <c r="K176" i="1"/>
  <c r="O176" i="1"/>
  <c r="S176" i="1"/>
  <c r="W176" i="1"/>
  <c r="F203" i="1"/>
  <c r="F201" i="1"/>
  <c r="F199" i="1"/>
  <c r="F197" i="1"/>
  <c r="F195" i="1"/>
  <c r="F193" i="1"/>
  <c r="J203" i="1"/>
  <c r="J201" i="1"/>
  <c r="J199" i="1"/>
  <c r="J197" i="1"/>
  <c r="J195" i="1"/>
  <c r="J193" i="1"/>
  <c r="N203" i="1"/>
  <c r="N201" i="1"/>
  <c r="N199" i="1"/>
  <c r="N197" i="1"/>
  <c r="N195" i="1"/>
  <c r="N193" i="1"/>
  <c r="R203" i="1"/>
  <c r="R201" i="1"/>
  <c r="R199" i="1"/>
  <c r="R197" i="1"/>
  <c r="R195" i="1"/>
  <c r="R193" i="1"/>
  <c r="V203" i="1"/>
  <c r="V201" i="1"/>
  <c r="V199" i="1"/>
  <c r="V197" i="1"/>
  <c r="V195" i="1"/>
  <c r="V193" i="1"/>
  <c r="G189" i="1"/>
  <c r="K189" i="1"/>
  <c r="O189" i="1"/>
  <c r="S189" i="1"/>
  <c r="W189" i="1"/>
  <c r="E190" i="1"/>
  <c r="I190" i="1"/>
  <c r="M190" i="1"/>
  <c r="Q190" i="1"/>
  <c r="U190" i="1"/>
  <c r="G191" i="1"/>
  <c r="K191" i="1"/>
  <c r="O191" i="1"/>
  <c r="S191" i="1"/>
  <c r="W191" i="1"/>
  <c r="E192" i="1"/>
  <c r="I192" i="1"/>
  <c r="M192" i="1"/>
  <c r="Q192" i="1"/>
  <c r="U192" i="1"/>
  <c r="I193" i="1"/>
  <c r="I194" i="1"/>
  <c r="N194" i="1"/>
  <c r="S194" i="1"/>
  <c r="M195" i="1"/>
  <c r="G196" i="1"/>
  <c r="M196" i="1"/>
  <c r="R196" i="1"/>
  <c r="W196" i="1"/>
  <c r="Q197" i="1"/>
  <c r="F198" i="1"/>
  <c r="K198" i="1"/>
  <c r="Q198" i="1"/>
  <c r="V198" i="1"/>
  <c r="E199" i="1"/>
  <c r="J200" i="1"/>
  <c r="R200" i="1"/>
  <c r="F202" i="1"/>
  <c r="N202" i="1"/>
  <c r="V202" i="1"/>
  <c r="J204" i="1"/>
  <c r="R204" i="1"/>
  <c r="D225" i="1"/>
  <c r="D224" i="1"/>
  <c r="H225" i="1"/>
  <c r="H224" i="1"/>
  <c r="C211" i="1"/>
  <c r="X227" i="1"/>
  <c r="X213" i="1"/>
  <c r="X226" i="1"/>
  <c r="K213" i="1"/>
  <c r="K313" i="1" s="1"/>
  <c r="P229" i="1"/>
  <c r="P228" i="1"/>
  <c r="AA213" i="1"/>
  <c r="M225" i="1"/>
  <c r="K226" i="1"/>
  <c r="W226" i="1"/>
  <c r="G228" i="1"/>
  <c r="F252" i="1"/>
  <c r="F238" i="1"/>
  <c r="N252" i="1"/>
  <c r="N238" i="1"/>
  <c r="R252" i="1"/>
  <c r="R238" i="1"/>
  <c r="W252" i="1"/>
  <c r="W238" i="1"/>
  <c r="W251" i="1"/>
  <c r="C239" i="1"/>
  <c r="C243" i="1"/>
  <c r="C247" i="1"/>
  <c r="L250" i="1"/>
  <c r="F251" i="1"/>
  <c r="E277" i="1"/>
  <c r="E276" i="1"/>
  <c r="E263" i="1"/>
  <c r="I277" i="1"/>
  <c r="I276" i="1"/>
  <c r="M277" i="1"/>
  <c r="M263" i="1"/>
  <c r="M276" i="1"/>
  <c r="U277" i="1"/>
  <c r="U263" i="1"/>
  <c r="U276" i="1"/>
  <c r="Q276" i="1"/>
  <c r="P279" i="1"/>
  <c r="F173" i="1"/>
  <c r="J173" i="1"/>
  <c r="N173" i="1"/>
  <c r="R173" i="1"/>
  <c r="V173" i="1"/>
  <c r="F175" i="1"/>
  <c r="J175" i="1"/>
  <c r="N175" i="1"/>
  <c r="R175" i="1"/>
  <c r="V175" i="1"/>
  <c r="F177" i="1"/>
  <c r="J177" i="1"/>
  <c r="N177" i="1"/>
  <c r="R177" i="1"/>
  <c r="V177" i="1"/>
  <c r="G204" i="1"/>
  <c r="G202" i="1"/>
  <c r="G200" i="1"/>
  <c r="K204" i="1"/>
  <c r="K202" i="1"/>
  <c r="K200" i="1"/>
  <c r="O204" i="1"/>
  <c r="O202" i="1"/>
  <c r="O200" i="1"/>
  <c r="S204" i="1"/>
  <c r="S202" i="1"/>
  <c r="S200" i="1"/>
  <c r="W204" i="1"/>
  <c r="W202" i="1"/>
  <c r="W200" i="1"/>
  <c r="E193" i="1"/>
  <c r="K193" i="1"/>
  <c r="U193" i="1"/>
  <c r="E194" i="1"/>
  <c r="O194" i="1"/>
  <c r="U194" i="1"/>
  <c r="I195" i="1"/>
  <c r="O195" i="1"/>
  <c r="I196" i="1"/>
  <c r="S196" i="1"/>
  <c r="M197" i="1"/>
  <c r="S197" i="1"/>
  <c r="G198" i="1"/>
  <c r="M198" i="1"/>
  <c r="R198" i="1"/>
  <c r="W198" i="1"/>
  <c r="G199" i="1"/>
  <c r="S199" i="1"/>
  <c r="E200" i="1"/>
  <c r="M200" i="1"/>
  <c r="U200" i="1"/>
  <c r="G201" i="1"/>
  <c r="O201" i="1"/>
  <c r="W201" i="1"/>
  <c r="I202" i="1"/>
  <c r="Q202" i="1"/>
  <c r="K203" i="1"/>
  <c r="S203" i="1"/>
  <c r="E204" i="1"/>
  <c r="M204" i="1"/>
  <c r="U204" i="1"/>
  <c r="L229" i="1"/>
  <c r="L228" i="1"/>
  <c r="G224" i="1"/>
  <c r="Q225" i="1"/>
  <c r="O226" i="1"/>
  <c r="G250" i="1"/>
  <c r="G249" i="1"/>
  <c r="C249" i="1" s="1"/>
  <c r="P250" i="1"/>
  <c r="J251" i="1"/>
  <c r="D254" i="1"/>
  <c r="T254" i="1"/>
  <c r="J274" i="1"/>
  <c r="J275" i="1"/>
  <c r="O274" i="1"/>
  <c r="O275" i="1"/>
  <c r="T274" i="1"/>
  <c r="T275" i="1"/>
  <c r="K278" i="1"/>
  <c r="K279" i="1"/>
  <c r="X303" i="1"/>
  <c r="X304" i="1"/>
  <c r="AA211" i="1"/>
  <c r="T224" i="1"/>
  <c r="F225" i="1"/>
  <c r="J225" i="1"/>
  <c r="N225" i="1"/>
  <c r="D226" i="1"/>
  <c r="H226" i="1"/>
  <c r="L226" i="1"/>
  <c r="P226" i="1"/>
  <c r="T226" i="1"/>
  <c r="C236" i="1"/>
  <c r="E238" i="1"/>
  <c r="M238" i="1"/>
  <c r="U238" i="1"/>
  <c r="O249" i="1"/>
  <c r="S249" i="1"/>
  <c r="E250" i="1"/>
  <c r="I250" i="1"/>
  <c r="M250" i="1"/>
  <c r="Q250" i="1"/>
  <c r="G251" i="1"/>
  <c r="K251" i="1"/>
  <c r="C251" i="1" s="1"/>
  <c r="O251" i="1"/>
  <c r="S251" i="1"/>
  <c r="E252" i="1"/>
  <c r="I252" i="1"/>
  <c r="M252" i="1"/>
  <c r="Q252" i="1"/>
  <c r="U252" i="1"/>
  <c r="G253" i="1"/>
  <c r="K253" i="1"/>
  <c r="O253" i="1"/>
  <c r="S253" i="1"/>
  <c r="I254" i="1"/>
  <c r="C260" i="1"/>
  <c r="D263" i="1"/>
  <c r="H263" i="1"/>
  <c r="L263" i="1"/>
  <c r="R263" i="1"/>
  <c r="L274" i="1"/>
  <c r="Q274" i="1"/>
  <c r="D275" i="1"/>
  <c r="X275" i="1"/>
  <c r="H276" i="1"/>
  <c r="R276" i="1"/>
  <c r="X276" i="1"/>
  <c r="G277" i="1"/>
  <c r="W277" i="1"/>
  <c r="F278" i="1"/>
  <c r="X279" i="1"/>
  <c r="D301" i="1"/>
  <c r="D302" i="1"/>
  <c r="D288" i="1"/>
  <c r="C286" i="1"/>
  <c r="H301" i="1"/>
  <c r="H302" i="1"/>
  <c r="H288" i="1"/>
  <c r="L301" i="1"/>
  <c r="L302" i="1"/>
  <c r="L288" i="1"/>
  <c r="P301" i="1"/>
  <c r="P302" i="1"/>
  <c r="T301" i="1"/>
  <c r="T302" i="1"/>
  <c r="T288" i="1"/>
  <c r="R304" i="1"/>
  <c r="R303" i="1"/>
  <c r="J213" i="1"/>
  <c r="J238" i="1"/>
  <c r="C261" i="1"/>
  <c r="N263" i="1"/>
  <c r="S263" i="1"/>
  <c r="C266" i="1"/>
  <c r="I274" i="1"/>
  <c r="C274" i="1" s="1"/>
  <c r="M274" i="1"/>
  <c r="D276" i="1"/>
  <c r="N276" i="1"/>
  <c r="T276" i="1"/>
  <c r="S277" i="1"/>
  <c r="E299" i="1"/>
  <c r="E300" i="1"/>
  <c r="I299" i="1"/>
  <c r="I300" i="1"/>
  <c r="N300" i="1"/>
  <c r="N299" i="1"/>
  <c r="S300" i="1"/>
  <c r="S299" i="1"/>
  <c r="E301" i="1"/>
  <c r="E302" i="1"/>
  <c r="I301" i="1"/>
  <c r="I302" i="1"/>
  <c r="M301" i="1"/>
  <c r="M302" i="1"/>
  <c r="M288" i="1"/>
  <c r="Q301" i="1"/>
  <c r="Q302" i="1"/>
  <c r="U301" i="1"/>
  <c r="U302" i="1"/>
  <c r="U288" i="1"/>
  <c r="J304" i="1"/>
  <c r="J303" i="1"/>
  <c r="T263" i="1"/>
  <c r="C264" i="1"/>
  <c r="C272" i="1"/>
  <c r="E274" i="1"/>
  <c r="G275" i="1"/>
  <c r="J276" i="1"/>
  <c r="O277" i="1"/>
  <c r="O279" i="1"/>
  <c r="F300" i="1"/>
  <c r="F299" i="1"/>
  <c r="J300" i="1"/>
  <c r="J299" i="1"/>
  <c r="O300" i="1"/>
  <c r="O299" i="1"/>
  <c r="T299" i="1"/>
  <c r="T300" i="1"/>
  <c r="E288" i="1"/>
  <c r="N288" i="1"/>
  <c r="C336" i="1"/>
  <c r="D300" i="1"/>
  <c r="H300" i="1"/>
  <c r="X302" i="1"/>
  <c r="P304" i="1"/>
  <c r="R347" i="1"/>
  <c r="R343" i="1"/>
  <c r="R346" i="1"/>
  <c r="R342" i="1"/>
  <c r="R349" i="1"/>
  <c r="R345" i="1"/>
  <c r="R341" i="1"/>
  <c r="R348" i="1"/>
  <c r="R344" i="1"/>
  <c r="R340" i="1"/>
  <c r="V347" i="1"/>
  <c r="V343" i="1"/>
  <c r="V346" i="1"/>
  <c r="V342" i="1"/>
  <c r="V349" i="1"/>
  <c r="V345" i="1"/>
  <c r="V341" i="1"/>
  <c r="V348" i="1"/>
  <c r="V344" i="1"/>
  <c r="V340" i="1"/>
  <c r="G299" i="1"/>
  <c r="M300" i="1"/>
  <c r="Q300" i="1"/>
  <c r="G301" i="1"/>
  <c r="K301" i="1"/>
  <c r="O301" i="1"/>
  <c r="S301" i="1"/>
  <c r="W301" i="1"/>
  <c r="W303" i="1"/>
  <c r="I304" i="1"/>
  <c r="C305" i="1"/>
  <c r="C333" i="1" s="1"/>
  <c r="C307" i="1"/>
  <c r="E336" i="1"/>
  <c r="E346" i="1" s="1"/>
  <c r="D299" i="1"/>
  <c r="C299" i="1" s="1"/>
  <c r="X301" i="1"/>
  <c r="G288" i="1"/>
  <c r="K288" i="1"/>
  <c r="O288" i="1"/>
  <c r="S288" i="1"/>
  <c r="C306" i="1"/>
  <c r="C334" i="1" s="1"/>
  <c r="C309" i="1"/>
  <c r="U348" i="1"/>
  <c r="U344" i="1"/>
  <c r="U340" i="1"/>
  <c r="U347" i="1"/>
  <c r="U343" i="1"/>
  <c r="U346" i="1"/>
  <c r="U342" i="1"/>
  <c r="U349" i="1"/>
  <c r="U345" i="1"/>
  <c r="U341" i="1"/>
  <c r="K349" i="1"/>
  <c r="K342" i="1"/>
  <c r="K346" i="1"/>
  <c r="K343" i="1"/>
  <c r="K347" i="1"/>
  <c r="K340" i="1"/>
  <c r="K344" i="1"/>
  <c r="K348" i="1"/>
  <c r="K341" i="1"/>
  <c r="K345" i="1"/>
  <c r="K339" i="1" l="1"/>
  <c r="K331" i="1"/>
  <c r="C163" i="1"/>
  <c r="C177" i="1" s="1"/>
  <c r="AA163" i="1"/>
  <c r="D179" i="1"/>
  <c r="C168" i="1"/>
  <c r="C176" i="1"/>
  <c r="C124" i="1"/>
  <c r="C193" i="1"/>
  <c r="C191" i="1"/>
  <c r="AA138" i="1"/>
  <c r="D154" i="1"/>
  <c r="C138" i="1"/>
  <c r="C152" i="1" s="1"/>
  <c r="V339" i="1"/>
  <c r="V331" i="1"/>
  <c r="E103" i="1"/>
  <c r="E104" i="1"/>
  <c r="C20" i="1"/>
  <c r="Q327" i="1"/>
  <c r="D348" i="1"/>
  <c r="D344" i="1"/>
  <c r="D340" i="1"/>
  <c r="D347" i="1"/>
  <c r="D343" i="1"/>
  <c r="D346" i="1"/>
  <c r="D342" i="1"/>
  <c r="D349" i="1"/>
  <c r="D345" i="1"/>
  <c r="D341" i="1"/>
  <c r="X313" i="1"/>
  <c r="E347" i="1"/>
  <c r="C66" i="1"/>
  <c r="C74" i="1"/>
  <c r="C45" i="1"/>
  <c r="S313" i="1"/>
  <c r="S28" i="1"/>
  <c r="S29" i="1"/>
  <c r="X349" i="1"/>
  <c r="X345" i="1"/>
  <c r="X341" i="1"/>
  <c r="X348" i="1"/>
  <c r="X344" i="1"/>
  <c r="X340" i="1"/>
  <c r="X347" i="1"/>
  <c r="X343" i="1"/>
  <c r="X346" i="1"/>
  <c r="X342" i="1"/>
  <c r="C114" i="1"/>
  <c r="E313" i="1"/>
  <c r="E28" i="1"/>
  <c r="C28" i="1" s="1"/>
  <c r="K328" i="1"/>
  <c r="K329" i="1"/>
  <c r="K327" i="1"/>
  <c r="K325" i="1"/>
  <c r="K323" i="1"/>
  <c r="K326" i="1"/>
  <c r="K317" i="1"/>
  <c r="K315" i="1"/>
  <c r="K324" i="1"/>
  <c r="K320" i="1"/>
  <c r="K318" i="1"/>
  <c r="K322" i="1"/>
  <c r="K314" i="1"/>
  <c r="K319" i="1"/>
  <c r="K321" i="1"/>
  <c r="K316" i="1"/>
  <c r="N346" i="1"/>
  <c r="N342" i="1"/>
  <c r="N349" i="1"/>
  <c r="N345" i="1"/>
  <c r="N341" i="1"/>
  <c r="N348" i="1"/>
  <c r="N344" i="1"/>
  <c r="N340" i="1"/>
  <c r="N347" i="1"/>
  <c r="N343" i="1"/>
  <c r="C88" i="1"/>
  <c r="T53" i="1"/>
  <c r="C200" i="1"/>
  <c r="C196" i="1"/>
  <c r="C194" i="1"/>
  <c r="C192" i="1"/>
  <c r="C198" i="1"/>
  <c r="C190" i="1"/>
  <c r="C166" i="1"/>
  <c r="C123" i="1"/>
  <c r="C119" i="1"/>
  <c r="C115" i="1"/>
  <c r="C129" i="1"/>
  <c r="C125" i="1"/>
  <c r="C121" i="1"/>
  <c r="C117" i="1"/>
  <c r="G79" i="1"/>
  <c r="G78" i="1"/>
  <c r="O313" i="1"/>
  <c r="O331" i="1" s="1"/>
  <c r="O29" i="1"/>
  <c r="O28" i="1"/>
  <c r="C64" i="1"/>
  <c r="C330" i="1"/>
  <c r="C325" i="1"/>
  <c r="C323" i="1"/>
  <c r="C317" i="1"/>
  <c r="C315" i="1"/>
  <c r="C321" i="1"/>
  <c r="C319" i="1"/>
  <c r="O328" i="1"/>
  <c r="O329" i="1"/>
  <c r="O327" i="1"/>
  <c r="O325" i="1"/>
  <c r="O323" i="1"/>
  <c r="O321" i="1"/>
  <c r="O317" i="1"/>
  <c r="O315" i="1"/>
  <c r="O326" i="1"/>
  <c r="O320" i="1"/>
  <c r="O318" i="1"/>
  <c r="O324" i="1"/>
  <c r="O319" i="1"/>
  <c r="O316" i="1"/>
  <c r="O322" i="1"/>
  <c r="O314" i="1"/>
  <c r="T349" i="1"/>
  <c r="T345" i="1"/>
  <c r="T341" i="1"/>
  <c r="T348" i="1"/>
  <c r="T344" i="1"/>
  <c r="T340" i="1"/>
  <c r="T347" i="1"/>
  <c r="T343" i="1"/>
  <c r="T346" i="1"/>
  <c r="T342" i="1"/>
  <c r="K304" i="1"/>
  <c r="K303" i="1"/>
  <c r="T278" i="1"/>
  <c r="T279" i="1"/>
  <c r="C267" i="1"/>
  <c r="C269" i="1"/>
  <c r="C271" i="1"/>
  <c r="C275" i="1"/>
  <c r="C273" i="1"/>
  <c r="C265" i="1"/>
  <c r="L279" i="1"/>
  <c r="L278" i="1"/>
  <c r="C226" i="1"/>
  <c r="X229" i="1"/>
  <c r="X228" i="1"/>
  <c r="C335" i="1"/>
  <c r="AA335" i="1" s="1"/>
  <c r="AA307" i="1"/>
  <c r="J254" i="1"/>
  <c r="J253" i="1"/>
  <c r="H303" i="1"/>
  <c r="H304" i="1"/>
  <c r="H278" i="1"/>
  <c r="H279" i="1"/>
  <c r="F254" i="1"/>
  <c r="F253" i="1"/>
  <c r="C224" i="1"/>
  <c r="C149" i="1"/>
  <c r="C153" i="1"/>
  <c r="C175" i="1"/>
  <c r="C167" i="1"/>
  <c r="C173" i="1"/>
  <c r="C169" i="1"/>
  <c r="C171" i="1"/>
  <c r="C165" i="1"/>
  <c r="C170" i="1"/>
  <c r="D178" i="1"/>
  <c r="C178" i="1" s="1"/>
  <c r="C141" i="1"/>
  <c r="C118" i="1"/>
  <c r="C126" i="1"/>
  <c r="C201" i="1"/>
  <c r="C195" i="1"/>
  <c r="C99" i="1"/>
  <c r="C95" i="1"/>
  <c r="C91" i="1"/>
  <c r="Q103" i="1"/>
  <c r="Q104" i="1"/>
  <c r="D54" i="1"/>
  <c r="C38" i="1"/>
  <c r="AA38" i="1"/>
  <c r="C22" i="1"/>
  <c r="C14" i="1"/>
  <c r="G313" i="1"/>
  <c r="G29" i="1"/>
  <c r="G28" i="1"/>
  <c r="C312" i="1"/>
  <c r="D313" i="1"/>
  <c r="C13" i="1"/>
  <c r="AA13" i="1"/>
  <c r="C68" i="1"/>
  <c r="C76" i="1"/>
  <c r="N313" i="1"/>
  <c r="X325" i="1"/>
  <c r="T324" i="1"/>
  <c r="P339" i="1"/>
  <c r="P351" i="1" s="1"/>
  <c r="P331" i="1"/>
  <c r="C127" i="1"/>
  <c r="C116" i="1"/>
  <c r="C79" i="1"/>
  <c r="C75" i="1"/>
  <c r="C73" i="1"/>
  <c r="C69" i="1"/>
  <c r="C71" i="1"/>
  <c r="C67" i="1"/>
  <c r="C65" i="1"/>
  <c r="X29" i="1"/>
  <c r="N28" i="1"/>
  <c r="Q28" i="1"/>
  <c r="W327" i="1"/>
  <c r="W325" i="1"/>
  <c r="W323" i="1"/>
  <c r="W321" i="1"/>
  <c r="W324" i="1"/>
  <c r="W317" i="1"/>
  <c r="W315" i="1"/>
  <c r="W322" i="1"/>
  <c r="W320" i="1"/>
  <c r="W318" i="1"/>
  <c r="W326" i="1"/>
  <c r="W319" i="1"/>
  <c r="W316" i="1"/>
  <c r="W314" i="1"/>
  <c r="G327" i="1"/>
  <c r="G325" i="1"/>
  <c r="G323" i="1"/>
  <c r="G324" i="1"/>
  <c r="G317" i="1"/>
  <c r="G315" i="1"/>
  <c r="G322" i="1"/>
  <c r="G320" i="1"/>
  <c r="G318" i="1"/>
  <c r="G321" i="1"/>
  <c r="G319" i="1"/>
  <c r="G316" i="1"/>
  <c r="G326" i="1"/>
  <c r="G314" i="1"/>
  <c r="C314" i="1" s="1"/>
  <c r="J346" i="1"/>
  <c r="J342" i="1"/>
  <c r="J349" i="1"/>
  <c r="J345" i="1"/>
  <c r="J341" i="1"/>
  <c r="J348" i="1"/>
  <c r="J344" i="1"/>
  <c r="J340" i="1"/>
  <c r="J347" i="1"/>
  <c r="J343" i="1"/>
  <c r="O304" i="1"/>
  <c r="O303" i="1"/>
  <c r="N304" i="1"/>
  <c r="N303" i="1"/>
  <c r="U303" i="1"/>
  <c r="U304" i="1"/>
  <c r="Q288" i="1"/>
  <c r="N279" i="1"/>
  <c r="N278" i="1"/>
  <c r="C301" i="1"/>
  <c r="R279" i="1"/>
  <c r="R278" i="1"/>
  <c r="C250" i="1"/>
  <c r="C248" i="1"/>
  <c r="C246" i="1"/>
  <c r="C244" i="1"/>
  <c r="C242" i="1"/>
  <c r="C240" i="1"/>
  <c r="U279" i="1"/>
  <c r="Q263" i="1"/>
  <c r="U278" i="1"/>
  <c r="W254" i="1"/>
  <c r="W253" i="1"/>
  <c r="N254" i="1"/>
  <c r="N253" i="1"/>
  <c r="W229" i="1"/>
  <c r="W228" i="1"/>
  <c r="F228" i="1"/>
  <c r="F229" i="1"/>
  <c r="C213" i="1"/>
  <c r="C227" i="1" s="1"/>
  <c r="C174" i="1"/>
  <c r="C122" i="1"/>
  <c r="C199" i="1"/>
  <c r="C189" i="1"/>
  <c r="C154" i="1"/>
  <c r="C150" i="1"/>
  <c r="C148" i="1"/>
  <c r="C146" i="1"/>
  <c r="C144" i="1"/>
  <c r="C142" i="1"/>
  <c r="C140" i="1"/>
  <c r="C97" i="1"/>
  <c r="I103" i="1"/>
  <c r="C103" i="1" s="1"/>
  <c r="I104" i="1"/>
  <c r="S79" i="1"/>
  <c r="S78" i="1"/>
  <c r="C338" i="1"/>
  <c r="AA310" i="1"/>
  <c r="C72" i="1"/>
  <c r="F313" i="1"/>
  <c r="C49" i="1"/>
  <c r="I313" i="1"/>
  <c r="I28" i="1"/>
  <c r="C337" i="1"/>
  <c r="AA337" i="1" s="1"/>
  <c r="AA309" i="1"/>
  <c r="E303" i="1"/>
  <c r="E304" i="1"/>
  <c r="M303" i="1"/>
  <c r="M304" i="1"/>
  <c r="C300" i="1"/>
  <c r="C298" i="1"/>
  <c r="C296" i="1"/>
  <c r="C294" i="1"/>
  <c r="C292" i="1"/>
  <c r="C290" i="1"/>
  <c r="U253" i="1"/>
  <c r="U254" i="1"/>
  <c r="Q238" i="1"/>
  <c r="W313" i="1"/>
  <c r="C151" i="1"/>
  <c r="G304" i="1"/>
  <c r="G303" i="1"/>
  <c r="AA308" i="1"/>
  <c r="T303" i="1"/>
  <c r="T304" i="1"/>
  <c r="C288" i="1"/>
  <c r="C302" i="1" s="1"/>
  <c r="D303" i="1"/>
  <c r="D304" i="1"/>
  <c r="AA288" i="1"/>
  <c r="M253" i="1"/>
  <c r="M254" i="1"/>
  <c r="R254" i="1"/>
  <c r="R253" i="1"/>
  <c r="S304" i="1"/>
  <c r="S303" i="1"/>
  <c r="C276" i="1"/>
  <c r="S278" i="1"/>
  <c r="S279" i="1"/>
  <c r="J228" i="1"/>
  <c r="J229" i="1"/>
  <c r="L303" i="1"/>
  <c r="L304" i="1"/>
  <c r="D278" i="1"/>
  <c r="D279" i="1"/>
  <c r="AA263" i="1"/>
  <c r="C263" i="1"/>
  <c r="C277" i="1" s="1"/>
  <c r="E253" i="1"/>
  <c r="E254" i="1"/>
  <c r="M279" i="1"/>
  <c r="M278" i="1"/>
  <c r="E279" i="1"/>
  <c r="E278" i="1"/>
  <c r="K229" i="1"/>
  <c r="K228" i="1"/>
  <c r="C225" i="1"/>
  <c r="C223" i="1"/>
  <c r="C221" i="1"/>
  <c r="C219" i="1"/>
  <c r="C217" i="1"/>
  <c r="C215" i="1"/>
  <c r="C238" i="1"/>
  <c r="C252" i="1" s="1"/>
  <c r="R313" i="1"/>
  <c r="R228" i="1"/>
  <c r="R229" i="1"/>
  <c r="N228" i="1"/>
  <c r="N229" i="1"/>
  <c r="AA188" i="1"/>
  <c r="C188" i="1"/>
  <c r="C202" i="1" s="1"/>
  <c r="C164" i="1"/>
  <c r="C172" i="1"/>
  <c r="C143" i="1"/>
  <c r="C139" i="1"/>
  <c r="C120" i="1"/>
  <c r="C128" i="1"/>
  <c r="C197" i="1"/>
  <c r="M103" i="1"/>
  <c r="M104" i="1"/>
  <c r="O79" i="1"/>
  <c r="O78" i="1"/>
  <c r="F29" i="1"/>
  <c r="C24" i="1"/>
  <c r="C16" i="1"/>
  <c r="T313" i="1"/>
  <c r="Q326" i="1"/>
  <c r="C17" i="1"/>
  <c r="C23" i="1"/>
  <c r="C15" i="1"/>
  <c r="C25" i="1"/>
  <c r="C21" i="1"/>
  <c r="C19" i="1"/>
  <c r="P349" i="1"/>
  <c r="P345" i="1"/>
  <c r="P341" i="1"/>
  <c r="P348" i="1"/>
  <c r="P344" i="1"/>
  <c r="P340" i="1"/>
  <c r="P347" i="1"/>
  <c r="P343" i="1"/>
  <c r="P350" i="1"/>
  <c r="P346" i="1"/>
  <c r="P342" i="1"/>
  <c r="C70" i="1"/>
  <c r="C78" i="1"/>
  <c r="J313" i="1"/>
  <c r="T325" i="1"/>
  <c r="P324" i="1"/>
  <c r="H313" i="1"/>
  <c r="U313" i="1"/>
  <c r="V104" i="1"/>
  <c r="V103" i="1"/>
  <c r="T29" i="1"/>
  <c r="D29" i="1"/>
  <c r="J28" i="1"/>
  <c r="M313" i="1"/>
  <c r="M28" i="1"/>
  <c r="S328" i="1"/>
  <c r="S329" i="1"/>
  <c r="S327" i="1"/>
  <c r="S325" i="1"/>
  <c r="S323" i="1"/>
  <c r="S321" i="1"/>
  <c r="S322" i="1"/>
  <c r="S317" i="1"/>
  <c r="S315" i="1"/>
  <c r="S320" i="1"/>
  <c r="S318" i="1"/>
  <c r="S326" i="1"/>
  <c r="S324" i="1"/>
  <c r="S314" i="1"/>
  <c r="S319" i="1"/>
  <c r="S316" i="1"/>
  <c r="F346" i="1"/>
  <c r="F342" i="1"/>
  <c r="F349" i="1"/>
  <c r="F345" i="1"/>
  <c r="F341" i="1"/>
  <c r="F348" i="1"/>
  <c r="F344" i="1"/>
  <c r="F340" i="1"/>
  <c r="F347" i="1"/>
  <c r="F343" i="1"/>
  <c r="L313" i="1"/>
  <c r="V329" i="1"/>
  <c r="V328" i="1"/>
  <c r="L53" i="1"/>
  <c r="C53" i="1" s="1"/>
  <c r="C326" i="1" l="1"/>
  <c r="C320" i="1"/>
  <c r="C324" i="1"/>
  <c r="C318" i="1"/>
  <c r="C316" i="1"/>
  <c r="C322" i="1"/>
  <c r="C228" i="1"/>
  <c r="W339" i="1"/>
  <c r="W331" i="1"/>
  <c r="F339" i="1"/>
  <c r="F331" i="1"/>
  <c r="F328" i="1"/>
  <c r="F329" i="1"/>
  <c r="C102" i="1"/>
  <c r="C104" i="1"/>
  <c r="M356" i="1"/>
  <c r="M339" i="1"/>
  <c r="M331" i="1"/>
  <c r="M328" i="1"/>
  <c r="M329" i="1"/>
  <c r="Q253" i="1"/>
  <c r="C253" i="1" s="1"/>
  <c r="Q254" i="1"/>
  <c r="Q303" i="1"/>
  <c r="Q304" i="1"/>
  <c r="C357" i="1"/>
  <c r="C359" i="1" s="1"/>
  <c r="C27" i="1"/>
  <c r="C52" i="1"/>
  <c r="C54" i="1"/>
  <c r="V350" i="1"/>
  <c r="V351" i="1"/>
  <c r="C304" i="1"/>
  <c r="W329" i="1"/>
  <c r="D339" i="1"/>
  <c r="D331" i="1"/>
  <c r="D329" i="1"/>
  <c r="D328" i="1"/>
  <c r="C204" i="1"/>
  <c r="E339" i="1"/>
  <c r="E331" i="1"/>
  <c r="E329" i="1"/>
  <c r="E328" i="1"/>
  <c r="S339" i="1"/>
  <c r="S331" i="1"/>
  <c r="K351" i="1"/>
  <c r="K350" i="1"/>
  <c r="H331" i="1"/>
  <c r="H339" i="1"/>
  <c r="H328" i="1"/>
  <c r="H329" i="1"/>
  <c r="C303" i="1"/>
  <c r="C349" i="1"/>
  <c r="C345" i="1"/>
  <c r="C341" i="1"/>
  <c r="C348" i="1"/>
  <c r="C344" i="1"/>
  <c r="C340" i="1"/>
  <c r="AA338" i="1"/>
  <c r="C347" i="1"/>
  <c r="C343" i="1"/>
  <c r="C346" i="1"/>
  <c r="C342" i="1"/>
  <c r="Q313" i="1"/>
  <c r="N339" i="1"/>
  <c r="N331" i="1"/>
  <c r="N328" i="1"/>
  <c r="N329" i="1"/>
  <c r="G354" i="1"/>
  <c r="G339" i="1"/>
  <c r="G331" i="1"/>
  <c r="C179" i="1"/>
  <c r="T339" i="1"/>
  <c r="T331" i="1"/>
  <c r="T328" i="1"/>
  <c r="T329" i="1"/>
  <c r="I339" i="1"/>
  <c r="I331" i="1"/>
  <c r="I328" i="1"/>
  <c r="I329" i="1"/>
  <c r="G329" i="1"/>
  <c r="L356" i="1"/>
  <c r="L357" i="1" s="1"/>
  <c r="L331" i="1"/>
  <c r="L339" i="1"/>
  <c r="L328" i="1"/>
  <c r="L329" i="1"/>
  <c r="U339" i="1"/>
  <c r="U331" i="1"/>
  <c r="Z313" i="1"/>
  <c r="U329" i="1"/>
  <c r="U328" i="1"/>
  <c r="J339" i="1"/>
  <c r="J331" i="1"/>
  <c r="J329" i="1"/>
  <c r="J328" i="1"/>
  <c r="C29" i="1"/>
  <c r="R339" i="1"/>
  <c r="R331" i="1"/>
  <c r="R328" i="1"/>
  <c r="R329" i="1"/>
  <c r="C229" i="1"/>
  <c r="AA336" i="1"/>
  <c r="Q279" i="1"/>
  <c r="Q278" i="1"/>
  <c r="C278" i="1" s="1"/>
  <c r="C254" i="1"/>
  <c r="G328" i="1"/>
  <c r="W328" i="1"/>
  <c r="C279" i="1"/>
  <c r="X339" i="1"/>
  <c r="X331" i="1"/>
  <c r="X328" i="1"/>
  <c r="X329" i="1"/>
  <c r="R351" i="1" l="1"/>
  <c r="R350" i="1"/>
  <c r="I350" i="1"/>
  <c r="I351" i="1"/>
  <c r="T351" i="1"/>
  <c r="T350" i="1"/>
  <c r="N351" i="1"/>
  <c r="N350" i="1"/>
  <c r="F350" i="1"/>
  <c r="F351" i="1"/>
  <c r="J350" i="1"/>
  <c r="J351" i="1"/>
  <c r="L351" i="1"/>
  <c r="L350" i="1"/>
  <c r="X354" i="1"/>
  <c r="Q331" i="1"/>
  <c r="Q339" i="1"/>
  <c r="Q328" i="1"/>
  <c r="Q329" i="1"/>
  <c r="M350" i="1"/>
  <c r="M351" i="1"/>
  <c r="U351" i="1"/>
  <c r="U350" i="1"/>
  <c r="H351" i="1"/>
  <c r="H350" i="1"/>
  <c r="W350" i="1"/>
  <c r="W351" i="1"/>
  <c r="C328" i="1"/>
  <c r="D351" i="1"/>
  <c r="D350" i="1"/>
  <c r="X351" i="1"/>
  <c r="X350" i="1"/>
  <c r="G350" i="1"/>
  <c r="G351" i="1"/>
  <c r="S350" i="1"/>
  <c r="S351" i="1"/>
  <c r="E350" i="1"/>
  <c r="E351" i="1"/>
  <c r="C313" i="1"/>
  <c r="C339" i="1" l="1"/>
  <c r="C331" i="1"/>
  <c r="C327" i="1"/>
  <c r="C329" i="1"/>
  <c r="Q351" i="1"/>
  <c r="Q350" i="1"/>
  <c r="C351" i="1" l="1"/>
  <c r="C3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tc={AEBF23D9-8814-408B-94C9-1578008F8688}</author>
    <author>tc={6C503F77-8703-46AF-B0C8-82FE5955190E}</author>
  </authors>
  <commentList>
    <comment ref="J4" authorId="0" shapeId="0" xr:uid="{1DD84C45-4EED-4B9D-A353-E4459AF17073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씨랄라</t>
        </r>
      </text>
    </comment>
    <comment ref="Q4" authorId="1" shapeId="0" xr:uid="{E4D40E1F-D847-4B43-A0CC-5DD7D134BA2D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하이원</t>
        </r>
      </text>
    </comment>
  </commentList>
</comments>
</file>

<file path=xl/sharedStrings.xml><?xml version="1.0" encoding="utf-8"?>
<sst xmlns="http://schemas.openxmlformats.org/spreadsheetml/2006/main" count="407" uniqueCount="78">
  <si>
    <t>26년 아쿠아샵(수영복&amp;용품) 매출</t>
    <phoneticPr fontId="3" type="noConversion"/>
  </si>
  <si>
    <t>(단위 : 원, VAT포함)</t>
    <phoneticPr fontId="3" type="noConversion"/>
  </si>
  <si>
    <t>구분</t>
    <phoneticPr fontId="3" type="noConversion"/>
  </si>
  <si>
    <t>월</t>
    <phoneticPr fontId="3" type="noConversion"/>
  </si>
  <si>
    <t>아쿠아샵(수영복&amp;용품) 매출</t>
    <phoneticPr fontId="3" type="noConversion"/>
  </si>
  <si>
    <t>비고</t>
    <phoneticPr fontId="3" type="noConversion"/>
  </si>
  <si>
    <t>아쿠아샵
매출</t>
    <phoneticPr fontId="3" type="noConversion"/>
  </si>
  <si>
    <t>스파비스
(아산)</t>
    <phoneticPr fontId="3" type="noConversion"/>
  </si>
  <si>
    <t>웅진플레이도시
(부천)</t>
    <phoneticPr fontId="3" type="noConversion"/>
  </si>
  <si>
    <t>블루원
(경주)</t>
    <phoneticPr fontId="3" type="noConversion"/>
  </si>
  <si>
    <t>롯데워터파크
(김해)</t>
    <phoneticPr fontId="3" type="noConversion"/>
  </si>
  <si>
    <t>클럽디오아시스
(부산)</t>
    <phoneticPr fontId="3" type="noConversion"/>
  </si>
  <si>
    <t>아쿠아필드
(하남)</t>
    <phoneticPr fontId="3" type="noConversion"/>
  </si>
  <si>
    <t>아쿠아필드
(안성)</t>
    <phoneticPr fontId="3" type="noConversion"/>
  </si>
  <si>
    <t>아일랜드캐슬
(의정부)</t>
    <phoneticPr fontId="3" type="noConversion"/>
  </si>
  <si>
    <t>롯데리조트
(부여)</t>
    <phoneticPr fontId="3" type="noConversion"/>
  </si>
  <si>
    <t>롯데리조트
(속초)</t>
    <phoneticPr fontId="3" type="noConversion"/>
  </si>
  <si>
    <t>아쿠아필드
(고양)</t>
    <phoneticPr fontId="3" type="noConversion"/>
  </si>
  <si>
    <t>오레브핫스프링
(제주)</t>
    <phoneticPr fontId="3" type="noConversion"/>
  </si>
  <si>
    <t>웰리힐리
(횡성)</t>
    <phoneticPr fontId="3" type="noConversion"/>
  </si>
  <si>
    <t>스플래쉬베이
(인스파이어)</t>
    <phoneticPr fontId="3" type="noConversion"/>
  </si>
  <si>
    <t>소노캄
(경주)</t>
    <phoneticPr fontId="3" type="noConversion"/>
  </si>
  <si>
    <t>해브나인 리솜
(제천)</t>
    <phoneticPr fontId="3" type="noConversion"/>
  </si>
  <si>
    <t>스플라스 리솜
(덕산)</t>
    <phoneticPr fontId="3" type="noConversion"/>
  </si>
  <si>
    <t>인스파이어_수피
(영종도)</t>
  </si>
  <si>
    <t>코코플레이어
(영종도)</t>
    <phoneticPr fontId="3" type="noConversion"/>
  </si>
  <si>
    <t>한화리조트
(경주)</t>
    <phoneticPr fontId="3" type="noConversion"/>
  </si>
  <si>
    <t>납품
거래처</t>
    <phoneticPr fontId="3" type="noConversion"/>
  </si>
  <si>
    <t>1월</t>
    <phoneticPr fontId="3" type="noConversion"/>
  </si>
  <si>
    <t>2019년 매출</t>
    <phoneticPr fontId="3" type="noConversion"/>
  </si>
  <si>
    <t>2020년 매출</t>
    <phoneticPr fontId="3" type="noConversion"/>
  </si>
  <si>
    <t>2021년 매출</t>
    <phoneticPr fontId="3" type="noConversion"/>
  </si>
  <si>
    <t>2022년 매출</t>
    <phoneticPr fontId="3" type="noConversion"/>
  </si>
  <si>
    <t>2023년 매출</t>
    <phoneticPr fontId="3" type="noConversion"/>
  </si>
  <si>
    <t>2024년 매출</t>
    <phoneticPr fontId="3" type="noConversion"/>
  </si>
  <si>
    <t>2025년 매출</t>
    <phoneticPr fontId="3" type="noConversion"/>
  </si>
  <si>
    <t>2026년 매출</t>
    <phoneticPr fontId="3" type="noConversion"/>
  </si>
  <si>
    <t>2026년 매출 목표</t>
    <phoneticPr fontId="3" type="noConversion"/>
  </si>
  <si>
    <t>전년대비 102%</t>
    <phoneticPr fontId="3" type="noConversion"/>
  </si>
  <si>
    <t>19년 대비 증감액</t>
    <phoneticPr fontId="3" type="noConversion"/>
  </si>
  <si>
    <t>19년 대비 증감율</t>
    <phoneticPr fontId="3" type="noConversion"/>
  </si>
  <si>
    <t>20년 대비 증감액</t>
    <phoneticPr fontId="3" type="noConversion"/>
  </si>
  <si>
    <t>20년 대비 증감율</t>
    <phoneticPr fontId="3" type="noConversion"/>
  </si>
  <si>
    <t>21년 대비 증감액</t>
    <phoneticPr fontId="3" type="noConversion"/>
  </si>
  <si>
    <t>21년 대비 증감율</t>
    <phoneticPr fontId="3" type="noConversion"/>
  </si>
  <si>
    <t>22년 대비 증감액</t>
    <phoneticPr fontId="3" type="noConversion"/>
  </si>
  <si>
    <t>22년 대비 증감율</t>
    <phoneticPr fontId="3" type="noConversion"/>
  </si>
  <si>
    <t>23년 대비 증감액</t>
    <phoneticPr fontId="3" type="noConversion"/>
  </si>
  <si>
    <t>23년 대비 증감율</t>
    <phoneticPr fontId="3" type="noConversion"/>
  </si>
  <si>
    <t>24년 대비 증감액</t>
    <phoneticPr fontId="3" type="noConversion"/>
  </si>
  <si>
    <t>24년 대비 증감율</t>
    <phoneticPr fontId="3" type="noConversion"/>
  </si>
  <si>
    <t>25년 대비 증감액</t>
    <phoneticPr fontId="3" type="noConversion"/>
  </si>
  <si>
    <t>25년 대비 증감율</t>
    <phoneticPr fontId="3" type="noConversion"/>
  </si>
  <si>
    <t>26년 목표 대비 증감액</t>
    <phoneticPr fontId="3" type="noConversion"/>
  </si>
  <si>
    <t>26년 목표 대비 증감율</t>
    <phoneticPr fontId="3" type="noConversion"/>
  </si>
  <si>
    <t>2월</t>
  </si>
  <si>
    <t>2022년 매출</t>
  </si>
  <si>
    <t>2025년 매출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</si>
  <si>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</si>
  <si>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</si>
  <si>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</si>
  <si>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</si>
  <si>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</si>
  <si>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</si>
  <si>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</si>
  <si>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</si>
  <si>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</si>
  <si>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</si>
  <si>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합 계</t>
    <phoneticPr fontId="3" type="noConversion"/>
  </si>
  <si>
    <t>2026년 매출</t>
  </si>
  <si>
    <t>매출대비 점유율</t>
    <phoneticPr fontId="3" type="noConversion"/>
  </si>
  <si>
    <t>목표대비 점유율</t>
    <phoneticPr fontId="3" type="noConversion"/>
  </si>
  <si>
    <t>2024년 매출 목표</t>
    <phoneticPr fontId="3" type="noConversion"/>
  </si>
  <si>
    <t>23년 예상매출</t>
    <phoneticPr fontId="3" type="noConversion"/>
  </si>
  <si>
    <t>대표님 제시 목표</t>
    <phoneticPr fontId="3" type="noConversion"/>
  </si>
  <si>
    <t>24년 목표매출</t>
    <phoneticPr fontId="3" type="noConversion"/>
  </si>
  <si>
    <t>증감금액</t>
    <phoneticPr fontId="3" type="noConversion"/>
  </si>
  <si>
    <t>증감율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</si>
</sst>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%"/>
    <numFmt numFmtId="177" formatCode="#,##0_ ;[Red]\-#,##0\ "/>
    <numFmt numFmtId="178" formatCode="_-* #,##0.0_-;\-* #,##0.0_-;_-* &quot;-&quot;?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0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86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2" borderId="0" xfId="0" applyFill="1">
      <alignment vertical="center"/>
    </xf>
    <xf numFmtId="0" fontId="4" fillId="2" borderId="0" xfId="0" applyFont="1" applyFill="1">
      <alignment vertical="center"/>
    </xf>
    <xf numFmtId="176" fontId="0" fillId="2" borderId="0" xfId="2" applyNumberFormat="1" applyFont="1" applyFill="1" applyBorder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 applyAlignment="1">
      <alignment horizontal="right" vertical="center"/>
    </xf>
    <xf numFmtId="0" fontId="7" fillId="3" borderId="3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41" fontId="12" fillId="0" borderId="14" xfId="1" applyFont="1" applyFill="1" applyBorder="1" applyAlignment="1">
      <alignment horizontal="left" vertical="center"/>
    </xf>
    <xf numFmtId="41" fontId="12" fillId="4" borderId="15" xfId="1" applyFont="1" applyFill="1" applyBorder="1">
      <alignment vertical="center"/>
    </xf>
    <xf numFmtId="41" fontId="12" fillId="4" borderId="16" xfId="1" applyFont="1" applyFill="1" applyBorder="1">
      <alignment vertical="center"/>
    </xf>
    <xf numFmtId="41" fontId="12" fillId="5" borderId="15" xfId="1" applyFont="1" applyFill="1" applyBorder="1">
      <alignment vertical="center"/>
    </xf>
    <xf numFmtId="41" fontId="12" fillId="5" borderId="17" xfId="1" applyFont="1" applyFill="1" applyBorder="1">
      <alignment vertical="center"/>
    </xf>
    <xf numFmtId="41" fontId="12" fillId="6" borderId="15" xfId="1" applyFont="1" applyFill="1" applyBorder="1">
      <alignment vertical="center"/>
    </xf>
    <xf numFmtId="41" fontId="12" fillId="0" borderId="18" xfId="1" applyFont="1" applyFill="1" applyBorder="1">
      <alignment vertical="center"/>
    </xf>
    <xf numFmtId="176" fontId="12" fillId="0" borderId="0" xfId="2" applyNumberFormat="1" applyFont="1" applyFill="1">
      <alignment vertical="center"/>
    </xf>
    <xf numFmtId="0" fontId="12" fillId="0" borderId="0" xfId="0" applyFont="1">
      <alignment vertical="center"/>
    </xf>
    <xf numFmtId="41" fontId="12" fillId="0" borderId="20" xfId="1" applyFont="1" applyFill="1" applyBorder="1" applyAlignment="1">
      <alignment horizontal="left" vertical="center"/>
    </xf>
    <xf numFmtId="41" fontId="12" fillId="4" borderId="21" xfId="1" applyFont="1" applyFill="1" applyBorder="1">
      <alignment vertical="center"/>
    </xf>
    <xf numFmtId="41" fontId="12" fillId="4" borderId="22" xfId="1" applyFont="1" applyFill="1" applyBorder="1">
      <alignment vertical="center"/>
    </xf>
    <xf numFmtId="41" fontId="12" fillId="5" borderId="23" xfId="1" applyFont="1" applyFill="1" applyBorder="1">
      <alignment vertical="center"/>
    </xf>
    <xf numFmtId="41" fontId="12" fillId="5" borderId="21" xfId="1" applyFont="1" applyFill="1" applyBorder="1">
      <alignment vertical="center"/>
    </xf>
    <xf numFmtId="41" fontId="12" fillId="6" borderId="21" xfId="1" applyFont="1" applyFill="1" applyBorder="1">
      <alignment vertical="center"/>
    </xf>
    <xf numFmtId="41" fontId="12" fillId="0" borderId="24" xfId="1" applyFont="1" applyFill="1" applyBorder="1">
      <alignment vertical="center"/>
    </xf>
    <xf numFmtId="41" fontId="12" fillId="4" borderId="23" xfId="1" applyFont="1" applyFill="1" applyBorder="1">
      <alignment vertical="center"/>
    </xf>
    <xf numFmtId="41" fontId="12" fillId="6" borderId="23" xfId="1" applyFont="1" applyFill="1" applyBorder="1">
      <alignment vertical="center"/>
    </xf>
    <xf numFmtId="41" fontId="12" fillId="0" borderId="25" xfId="1" applyFont="1" applyFill="1" applyBorder="1" applyAlignment="1">
      <alignment horizontal="left" vertical="center"/>
    </xf>
    <xf numFmtId="41" fontId="12" fillId="4" borderId="26" xfId="1" applyFont="1" applyFill="1" applyBorder="1">
      <alignment vertical="center"/>
    </xf>
    <xf numFmtId="41" fontId="12" fillId="4" borderId="27" xfId="1" applyFont="1" applyFill="1" applyBorder="1">
      <alignment vertical="center"/>
    </xf>
    <xf numFmtId="41" fontId="12" fillId="4" borderId="28" xfId="1" applyFont="1" applyFill="1" applyBorder="1">
      <alignment vertical="center"/>
    </xf>
    <xf numFmtId="41" fontId="12" fillId="5" borderId="26" xfId="1" applyFont="1" applyFill="1" applyBorder="1">
      <alignment vertical="center"/>
    </xf>
    <xf numFmtId="41" fontId="12" fillId="6" borderId="26" xfId="1" applyFont="1" applyFill="1" applyBorder="1">
      <alignment vertical="center"/>
    </xf>
    <xf numFmtId="41" fontId="12" fillId="0" borderId="29" xfId="1" applyFont="1" applyFill="1" applyBorder="1">
      <alignment vertical="center"/>
    </xf>
    <xf numFmtId="41" fontId="11" fillId="0" borderId="25" xfId="1" applyFont="1" applyFill="1" applyBorder="1" applyAlignment="1">
      <alignment horizontal="left" vertical="center"/>
    </xf>
    <xf numFmtId="41" fontId="11" fillId="4" borderId="26" xfId="1" applyFont="1" applyFill="1" applyBorder="1">
      <alignment vertical="center"/>
    </xf>
    <xf numFmtId="41" fontId="11" fillId="4" borderId="27" xfId="1" applyFont="1" applyFill="1" applyBorder="1">
      <alignment vertical="center"/>
    </xf>
    <xf numFmtId="41" fontId="11" fillId="4" borderId="28" xfId="1" applyFont="1" applyFill="1" applyBorder="1">
      <alignment vertical="center"/>
    </xf>
    <xf numFmtId="41" fontId="11" fillId="5" borderId="26" xfId="1" applyFont="1" applyFill="1" applyBorder="1">
      <alignment vertical="center"/>
    </xf>
    <xf numFmtId="41" fontId="11" fillId="0" borderId="29" xfId="1" applyFont="1" applyFill="1" applyBorder="1">
      <alignment vertical="center"/>
    </xf>
    <xf numFmtId="176" fontId="11" fillId="0" borderId="0" xfId="2" applyNumberFormat="1" applyFont="1" applyFill="1">
      <alignment vertical="center"/>
    </xf>
    <xf numFmtId="0" fontId="11" fillId="0" borderId="0" xfId="0" applyFont="1">
      <alignment vertical="center"/>
    </xf>
    <xf numFmtId="41" fontId="11" fillId="0" borderId="30" xfId="1" applyFont="1" applyFill="1" applyBorder="1" applyAlignment="1">
      <alignment horizontal="left" vertical="center"/>
    </xf>
    <xf numFmtId="41" fontId="11" fillId="4" borderId="9" xfId="1" applyFont="1" applyFill="1" applyBorder="1">
      <alignment vertical="center"/>
    </xf>
    <xf numFmtId="41" fontId="11" fillId="4" borderId="10" xfId="1" applyFont="1" applyFill="1" applyBorder="1">
      <alignment vertical="center"/>
    </xf>
    <xf numFmtId="41" fontId="11" fillId="4" borderId="11" xfId="1" applyFont="1" applyFill="1" applyBorder="1">
      <alignment vertical="center"/>
    </xf>
    <xf numFmtId="41" fontId="11" fillId="5" borderId="9" xfId="1" applyFont="1" applyFill="1" applyBorder="1">
      <alignment vertical="center"/>
    </xf>
    <xf numFmtId="41" fontId="11" fillId="7" borderId="9" xfId="1" applyFont="1" applyFill="1" applyBorder="1">
      <alignment vertical="center"/>
    </xf>
    <xf numFmtId="41" fontId="11" fillId="0" borderId="31" xfId="1" applyFont="1" applyFill="1" applyBorder="1">
      <alignment vertical="center"/>
    </xf>
    <xf numFmtId="177" fontId="12" fillId="4" borderId="15" xfId="1" applyNumberFormat="1" applyFont="1" applyFill="1" applyBorder="1">
      <alignment vertical="center"/>
    </xf>
    <xf numFmtId="177" fontId="12" fillId="4" borderId="16" xfId="1" applyNumberFormat="1" applyFont="1" applyFill="1" applyBorder="1">
      <alignment vertical="center"/>
    </xf>
    <xf numFmtId="177" fontId="12" fillId="5" borderId="15" xfId="1" applyNumberFormat="1" applyFont="1" applyFill="1" applyBorder="1">
      <alignment vertical="center"/>
    </xf>
    <xf numFmtId="177" fontId="12" fillId="5" borderId="17" xfId="1" applyNumberFormat="1" applyFont="1" applyFill="1" applyBorder="1">
      <alignment vertical="center"/>
    </xf>
    <xf numFmtId="177" fontId="12" fillId="6" borderId="15" xfId="1" applyNumberFormat="1" applyFont="1" applyFill="1" applyBorder="1">
      <alignment vertical="center"/>
    </xf>
    <xf numFmtId="177" fontId="12" fillId="0" borderId="18" xfId="1" applyNumberFormat="1" applyFont="1" applyFill="1" applyBorder="1">
      <alignment vertical="center"/>
    </xf>
    <xf numFmtId="177" fontId="12" fillId="0" borderId="0" xfId="2" applyNumberFormat="1" applyFont="1" applyFill="1">
      <alignment vertical="center"/>
    </xf>
    <xf numFmtId="177" fontId="12" fillId="0" borderId="0" xfId="0" applyNumberFormat="1" applyFont="1">
      <alignment vertical="center"/>
    </xf>
    <xf numFmtId="176" fontId="12" fillId="4" borderId="21" xfId="2" applyNumberFormat="1" applyFont="1" applyFill="1" applyBorder="1">
      <alignment vertical="center"/>
    </xf>
    <xf numFmtId="176" fontId="12" fillId="4" borderId="22" xfId="2" applyNumberFormat="1" applyFont="1" applyFill="1" applyBorder="1">
      <alignment vertical="center"/>
    </xf>
    <xf numFmtId="176" fontId="12" fillId="5" borderId="21" xfId="2" applyNumberFormat="1" applyFont="1" applyFill="1" applyBorder="1">
      <alignment vertical="center"/>
    </xf>
    <xf numFmtId="176" fontId="12" fillId="5" borderId="23" xfId="2" applyNumberFormat="1" applyFont="1" applyFill="1" applyBorder="1">
      <alignment vertical="center"/>
    </xf>
    <xf numFmtId="176" fontId="12" fillId="6" borderId="21" xfId="2" applyNumberFormat="1" applyFont="1" applyFill="1" applyBorder="1">
      <alignment vertical="center"/>
    </xf>
    <xf numFmtId="176" fontId="12" fillId="0" borderId="24" xfId="2" applyNumberFormat="1" applyFont="1" applyFill="1" applyBorder="1">
      <alignment vertical="center"/>
    </xf>
    <xf numFmtId="177" fontId="12" fillId="4" borderId="21" xfId="1" applyNumberFormat="1" applyFont="1" applyFill="1" applyBorder="1">
      <alignment vertical="center"/>
    </xf>
    <xf numFmtId="177" fontId="12" fillId="4" borderId="22" xfId="1" applyNumberFormat="1" applyFont="1" applyFill="1" applyBorder="1">
      <alignment vertical="center"/>
    </xf>
    <xf numFmtId="177" fontId="12" fillId="5" borderId="23" xfId="1" applyNumberFormat="1" applyFont="1" applyFill="1" applyBorder="1">
      <alignment vertical="center"/>
    </xf>
    <xf numFmtId="177" fontId="12" fillId="5" borderId="21" xfId="1" applyNumberFormat="1" applyFont="1" applyFill="1" applyBorder="1">
      <alignment vertical="center"/>
    </xf>
    <xf numFmtId="177" fontId="12" fillId="6" borderId="21" xfId="1" applyNumberFormat="1" applyFont="1" applyFill="1" applyBorder="1">
      <alignment vertical="center"/>
    </xf>
    <xf numFmtId="177" fontId="12" fillId="4" borderId="23" xfId="1" applyNumberFormat="1" applyFont="1" applyFill="1" applyBorder="1">
      <alignment vertical="center"/>
    </xf>
    <xf numFmtId="177" fontId="12" fillId="6" borderId="23" xfId="1" applyNumberFormat="1" applyFont="1" applyFill="1" applyBorder="1">
      <alignment vertical="center"/>
    </xf>
    <xf numFmtId="176" fontId="12" fillId="4" borderId="23" xfId="2" applyNumberFormat="1" applyFont="1" applyFill="1" applyBorder="1">
      <alignment vertical="center"/>
    </xf>
    <xf numFmtId="176" fontId="12" fillId="6" borderId="23" xfId="2" applyNumberFormat="1" applyFont="1" applyFill="1" applyBorder="1">
      <alignment vertical="center"/>
    </xf>
    <xf numFmtId="41" fontId="11" fillId="0" borderId="20" xfId="1" applyFont="1" applyFill="1" applyBorder="1" applyAlignment="1">
      <alignment horizontal="left" vertical="center"/>
    </xf>
    <xf numFmtId="177" fontId="11" fillId="4" borderId="21" xfId="1" applyNumberFormat="1" applyFont="1" applyFill="1" applyBorder="1">
      <alignment vertical="center"/>
    </xf>
    <xf numFmtId="177" fontId="11" fillId="4" borderId="22" xfId="1" applyNumberFormat="1" applyFont="1" applyFill="1" applyBorder="1">
      <alignment vertical="center"/>
    </xf>
    <xf numFmtId="177" fontId="11" fillId="4" borderId="23" xfId="1" applyNumberFormat="1" applyFont="1" applyFill="1" applyBorder="1">
      <alignment vertical="center"/>
    </xf>
    <xf numFmtId="177" fontId="11" fillId="5" borderId="21" xfId="1" applyNumberFormat="1" applyFont="1" applyFill="1" applyBorder="1">
      <alignment vertical="center"/>
    </xf>
    <xf numFmtId="177" fontId="11" fillId="0" borderId="24" xfId="1" applyNumberFormat="1" applyFont="1" applyFill="1" applyBorder="1">
      <alignment vertical="center"/>
    </xf>
    <xf numFmtId="177" fontId="11" fillId="0" borderId="0" xfId="2" applyNumberFormat="1" applyFont="1" applyFill="1">
      <alignment vertical="center"/>
    </xf>
    <xf numFmtId="177" fontId="11" fillId="0" borderId="0" xfId="0" applyNumberFormat="1" applyFont="1">
      <alignment vertical="center"/>
    </xf>
    <xf numFmtId="41" fontId="11" fillId="0" borderId="33" xfId="1" applyFont="1" applyFill="1" applyBorder="1" applyAlignment="1">
      <alignment horizontal="left" vertical="center"/>
    </xf>
    <xf numFmtId="176" fontId="11" fillId="4" borderId="34" xfId="2" applyNumberFormat="1" applyFont="1" applyFill="1" applyBorder="1">
      <alignment vertical="center"/>
    </xf>
    <xf numFmtId="176" fontId="11" fillId="4" borderId="35" xfId="2" applyNumberFormat="1" applyFont="1" applyFill="1" applyBorder="1">
      <alignment vertical="center"/>
    </xf>
    <xf numFmtId="176" fontId="11" fillId="4" borderId="36" xfId="2" applyNumberFormat="1" applyFont="1" applyFill="1" applyBorder="1">
      <alignment vertical="center"/>
    </xf>
    <xf numFmtId="176" fontId="11" fillId="5" borderId="34" xfId="2" applyNumberFormat="1" applyFont="1" applyFill="1" applyBorder="1">
      <alignment vertical="center"/>
    </xf>
    <xf numFmtId="176" fontId="11" fillId="0" borderId="37" xfId="2" applyNumberFormat="1" applyFont="1" applyFill="1" applyBorder="1">
      <alignment vertical="center"/>
    </xf>
    <xf numFmtId="41" fontId="12" fillId="0" borderId="39" xfId="1" applyFont="1" applyFill="1" applyBorder="1" applyAlignment="1">
      <alignment horizontal="left" vertical="center"/>
    </xf>
    <xf numFmtId="41" fontId="12" fillId="4" borderId="40" xfId="1" applyFont="1" applyFill="1" applyBorder="1">
      <alignment vertical="center"/>
    </xf>
    <xf numFmtId="41" fontId="12" fillId="4" borderId="41" xfId="1" applyFont="1" applyFill="1" applyBorder="1">
      <alignment vertical="center"/>
    </xf>
    <xf numFmtId="41" fontId="12" fillId="5" borderId="40" xfId="1" applyFont="1" applyFill="1" applyBorder="1">
      <alignment vertical="center"/>
    </xf>
    <xf numFmtId="41" fontId="12" fillId="5" borderId="42" xfId="1" applyFont="1" applyFill="1" applyBorder="1">
      <alignment vertical="center"/>
    </xf>
    <xf numFmtId="41" fontId="12" fillId="6" borderId="40" xfId="1" applyFont="1" applyFill="1" applyBorder="1">
      <alignment vertical="center"/>
    </xf>
    <xf numFmtId="41" fontId="12" fillId="0" borderId="43" xfId="1" applyFont="1" applyFill="1" applyBorder="1">
      <alignment vertical="center"/>
    </xf>
    <xf numFmtId="41" fontId="12" fillId="0" borderId="44" xfId="1" applyFont="1" applyFill="1" applyBorder="1" applyAlignment="1">
      <alignment horizontal="left" vertical="center"/>
    </xf>
    <xf numFmtId="41" fontId="12" fillId="4" borderId="45" xfId="1" applyFont="1" applyFill="1" applyBorder="1">
      <alignment vertical="center"/>
    </xf>
    <xf numFmtId="41" fontId="12" fillId="4" borderId="46" xfId="1" applyFont="1" applyFill="1" applyBorder="1">
      <alignment vertical="center"/>
    </xf>
    <xf numFmtId="41" fontId="12" fillId="4" borderId="47" xfId="1" applyFont="1" applyFill="1" applyBorder="1">
      <alignment vertical="center"/>
    </xf>
    <xf numFmtId="41" fontId="12" fillId="5" borderId="46" xfId="1" applyFont="1" applyFill="1" applyBorder="1">
      <alignment vertical="center"/>
    </xf>
    <xf numFmtId="41" fontId="12" fillId="6" borderId="47" xfId="1" applyFont="1" applyFill="1" applyBorder="1">
      <alignment vertical="center"/>
    </xf>
    <xf numFmtId="41" fontId="12" fillId="6" borderId="46" xfId="1" applyFont="1" applyFill="1" applyBorder="1">
      <alignment vertical="center"/>
    </xf>
    <xf numFmtId="41" fontId="12" fillId="0" borderId="48" xfId="1" applyFont="1" applyFill="1" applyBorder="1">
      <alignment vertical="center"/>
    </xf>
    <xf numFmtId="41" fontId="11" fillId="5" borderId="21" xfId="1" applyFont="1" applyFill="1" applyBorder="1">
      <alignment vertical="center"/>
    </xf>
    <xf numFmtId="41" fontId="11" fillId="0" borderId="24" xfId="1" applyFont="1" applyFill="1" applyBorder="1">
      <alignment vertical="center"/>
    </xf>
    <xf numFmtId="176" fontId="11" fillId="0" borderId="0" xfId="2" applyNumberFormat="1" applyFont="1">
      <alignment vertical="center"/>
    </xf>
    <xf numFmtId="41" fontId="12" fillId="4" borderId="49" xfId="1" applyFont="1" applyFill="1" applyBorder="1">
      <alignment vertical="center"/>
    </xf>
    <xf numFmtId="41" fontId="12" fillId="0" borderId="50" xfId="1" applyFont="1" applyFill="1" applyBorder="1" applyAlignment="1">
      <alignment horizontal="left" vertical="center"/>
    </xf>
    <xf numFmtId="41" fontId="11" fillId="4" borderId="51" xfId="1" applyFont="1" applyFill="1" applyBorder="1">
      <alignment vertical="center"/>
    </xf>
    <xf numFmtId="41" fontId="11" fillId="4" borderId="52" xfId="1" applyFont="1" applyFill="1" applyBorder="1">
      <alignment vertical="center"/>
    </xf>
    <xf numFmtId="41" fontId="11" fillId="5" borderId="51" xfId="1" applyFont="1" applyFill="1" applyBorder="1">
      <alignment vertical="center"/>
    </xf>
    <xf numFmtId="41" fontId="11" fillId="5" borderId="53" xfId="1" applyFont="1" applyFill="1" applyBorder="1">
      <alignment vertical="center"/>
    </xf>
    <xf numFmtId="41" fontId="11" fillId="6" borderId="51" xfId="1" applyFont="1" applyFill="1" applyBorder="1">
      <alignment vertical="center"/>
    </xf>
    <xf numFmtId="41" fontId="11" fillId="0" borderId="54" xfId="1" applyFont="1" applyFill="1" applyBorder="1">
      <alignment vertical="center"/>
    </xf>
    <xf numFmtId="41" fontId="11" fillId="0" borderId="0" xfId="0" applyNumberFormat="1" applyFont="1">
      <alignment vertical="center"/>
    </xf>
    <xf numFmtId="41" fontId="11" fillId="6" borderId="53" xfId="1" applyFont="1" applyFill="1" applyBorder="1">
      <alignment vertical="center"/>
    </xf>
    <xf numFmtId="41" fontId="11" fillId="4" borderId="21" xfId="1" applyFont="1" applyFill="1" applyBorder="1">
      <alignment vertical="center"/>
    </xf>
    <xf numFmtId="41" fontId="11" fillId="4" borderId="22" xfId="1" applyFont="1" applyFill="1" applyBorder="1">
      <alignment vertical="center"/>
    </xf>
    <xf numFmtId="41" fontId="11" fillId="4" borderId="23" xfId="1" applyFont="1" applyFill="1" applyBorder="1">
      <alignment vertical="center"/>
    </xf>
    <xf numFmtId="41" fontId="11" fillId="6" borderId="23" xfId="1" applyFont="1" applyFill="1" applyBorder="1">
      <alignment vertical="center"/>
    </xf>
    <xf numFmtId="41" fontId="11" fillId="6" borderId="21" xfId="1" applyFont="1" applyFill="1" applyBorder="1">
      <alignment vertical="center"/>
    </xf>
    <xf numFmtId="41" fontId="11" fillId="0" borderId="0" xfId="1" applyFont="1" applyFill="1">
      <alignment vertical="center"/>
    </xf>
    <xf numFmtId="41" fontId="12" fillId="0" borderId="0" xfId="1" applyFont="1" applyFill="1">
      <alignment vertical="center"/>
    </xf>
    <xf numFmtId="176" fontId="10" fillId="0" borderId="0" xfId="2" applyNumberFormat="1" applyFont="1">
      <alignment vertical="center"/>
    </xf>
    <xf numFmtId="41" fontId="0" fillId="0" borderId="0" xfId="1" applyFont="1">
      <alignment vertical="center"/>
    </xf>
    <xf numFmtId="41" fontId="5" fillId="0" borderId="0" xfId="1" applyFont="1">
      <alignment vertical="center"/>
    </xf>
    <xf numFmtId="41" fontId="6" fillId="0" borderId="0" xfId="1" applyFont="1">
      <alignment vertical="center"/>
    </xf>
    <xf numFmtId="41" fontId="4" fillId="0" borderId="0" xfId="1" applyFont="1">
      <alignment vertical="center"/>
    </xf>
    <xf numFmtId="41" fontId="12" fillId="0" borderId="58" xfId="1" applyFont="1" applyFill="1" applyBorder="1" applyAlignment="1">
      <alignment horizontal="left" vertical="center"/>
    </xf>
    <xf numFmtId="41" fontId="12" fillId="4" borderId="3" xfId="1" applyFont="1" applyFill="1" applyBorder="1">
      <alignment vertical="center"/>
    </xf>
    <xf numFmtId="41" fontId="12" fillId="4" borderId="59" xfId="1" applyFont="1" applyFill="1" applyBorder="1">
      <alignment vertical="center"/>
    </xf>
    <xf numFmtId="41" fontId="12" fillId="5" borderId="3" xfId="1" applyFont="1" applyFill="1" applyBorder="1">
      <alignment vertical="center"/>
    </xf>
    <xf numFmtId="41" fontId="12" fillId="5" borderId="60" xfId="1" applyFont="1" applyFill="1" applyBorder="1">
      <alignment vertical="center"/>
    </xf>
    <xf numFmtId="41" fontId="12" fillId="8" borderId="3" xfId="1" applyFont="1" applyFill="1" applyBorder="1">
      <alignment vertical="center"/>
    </xf>
    <xf numFmtId="41" fontId="12" fillId="6" borderId="3" xfId="1" applyFont="1" applyFill="1" applyBorder="1">
      <alignment vertical="center"/>
    </xf>
    <xf numFmtId="41" fontId="12" fillId="0" borderId="61" xfId="1" applyFont="1" applyFill="1" applyBorder="1">
      <alignment vertical="center"/>
    </xf>
    <xf numFmtId="41" fontId="12" fillId="4" borderId="51" xfId="1" applyFont="1" applyFill="1" applyBorder="1">
      <alignment vertical="center"/>
    </xf>
    <xf numFmtId="41" fontId="12" fillId="4" borderId="52" xfId="1" applyFont="1" applyFill="1" applyBorder="1">
      <alignment vertical="center"/>
    </xf>
    <xf numFmtId="41" fontId="12" fillId="5" borderId="53" xfId="1" applyFont="1" applyFill="1" applyBorder="1">
      <alignment vertical="center"/>
    </xf>
    <xf numFmtId="41" fontId="12" fillId="5" borderId="51" xfId="1" applyFont="1" applyFill="1" applyBorder="1">
      <alignment vertical="center"/>
    </xf>
    <xf numFmtId="41" fontId="12" fillId="6" borderId="51" xfId="1" applyFont="1" applyFill="1" applyBorder="1">
      <alignment vertical="center"/>
    </xf>
    <xf numFmtId="41" fontId="12" fillId="6" borderId="53" xfId="1" applyFont="1" applyFill="1" applyBorder="1">
      <alignment vertical="center"/>
    </xf>
    <xf numFmtId="41" fontId="12" fillId="0" borderId="54" xfId="1" applyFont="1" applyFill="1" applyBorder="1">
      <alignment vertical="center"/>
    </xf>
    <xf numFmtId="41" fontId="12" fillId="0" borderId="30" xfId="1" applyFont="1" applyFill="1" applyBorder="1" applyAlignment="1">
      <alignment horizontal="left" vertical="center"/>
    </xf>
    <xf numFmtId="41" fontId="12" fillId="4" borderId="9" xfId="1" applyFont="1" applyFill="1" applyBorder="1">
      <alignment vertical="center"/>
    </xf>
    <xf numFmtId="41" fontId="12" fillId="4" borderId="10" xfId="1" applyFont="1" applyFill="1" applyBorder="1">
      <alignment vertical="center"/>
    </xf>
    <xf numFmtId="41" fontId="12" fillId="4" borderId="11" xfId="1" applyFont="1" applyFill="1" applyBorder="1">
      <alignment vertical="center"/>
    </xf>
    <xf numFmtId="41" fontId="12" fillId="5" borderId="9" xfId="1" applyFont="1" applyFill="1" applyBorder="1">
      <alignment vertical="center"/>
    </xf>
    <xf numFmtId="41" fontId="12" fillId="6" borderId="9" xfId="1" applyFont="1" applyFill="1" applyBorder="1">
      <alignment vertical="center"/>
    </xf>
    <xf numFmtId="177" fontId="12" fillId="0" borderId="24" xfId="1" applyNumberFormat="1" applyFont="1" applyFill="1" applyBorder="1">
      <alignment vertical="center"/>
    </xf>
    <xf numFmtId="177" fontId="12" fillId="4" borderId="51" xfId="1" applyNumberFormat="1" applyFont="1" applyFill="1" applyBorder="1">
      <alignment vertical="center"/>
    </xf>
    <xf numFmtId="177" fontId="12" fillId="4" borderId="52" xfId="1" applyNumberFormat="1" applyFont="1" applyFill="1" applyBorder="1">
      <alignment vertical="center"/>
    </xf>
    <xf numFmtId="177" fontId="12" fillId="4" borderId="53" xfId="1" applyNumberFormat="1" applyFont="1" applyFill="1" applyBorder="1">
      <alignment vertical="center"/>
    </xf>
    <xf numFmtId="177" fontId="12" fillId="5" borderId="51" xfId="1" applyNumberFormat="1" applyFont="1" applyFill="1" applyBorder="1">
      <alignment vertical="center"/>
    </xf>
    <xf numFmtId="177" fontId="12" fillId="6" borderId="51" xfId="1" applyNumberFormat="1" applyFont="1" applyFill="1" applyBorder="1">
      <alignment vertical="center"/>
    </xf>
    <xf numFmtId="177" fontId="12" fillId="0" borderId="54" xfId="1" applyNumberFormat="1" applyFont="1" applyFill="1" applyBorder="1">
      <alignment vertical="center"/>
    </xf>
    <xf numFmtId="41" fontId="12" fillId="0" borderId="62" xfId="1" applyFont="1" applyFill="1" applyBorder="1" applyAlignment="1">
      <alignment horizontal="left" vertical="center"/>
    </xf>
    <xf numFmtId="176" fontId="12" fillId="4" borderId="63" xfId="2" applyNumberFormat="1" applyFont="1" applyFill="1" applyBorder="1">
      <alignment vertical="center"/>
    </xf>
    <xf numFmtId="176" fontId="12" fillId="4" borderId="64" xfId="2" applyNumberFormat="1" applyFont="1" applyFill="1" applyBorder="1">
      <alignment vertical="center"/>
    </xf>
    <xf numFmtId="176" fontId="12" fillId="4" borderId="65" xfId="2" applyNumberFormat="1" applyFont="1" applyFill="1" applyBorder="1">
      <alignment vertical="center"/>
    </xf>
    <xf numFmtId="176" fontId="12" fillId="5" borderId="63" xfId="2" applyNumberFormat="1" applyFont="1" applyFill="1" applyBorder="1">
      <alignment vertical="center"/>
    </xf>
    <xf numFmtId="176" fontId="12" fillId="6" borderId="63" xfId="2" applyNumberFormat="1" applyFont="1" applyFill="1" applyBorder="1">
      <alignment vertical="center"/>
    </xf>
    <xf numFmtId="176" fontId="12" fillId="0" borderId="66" xfId="2" applyNumberFormat="1" applyFont="1" applyFill="1" applyBorder="1">
      <alignment vertical="center"/>
    </xf>
    <xf numFmtId="41" fontId="0" fillId="0" borderId="0" xfId="0" applyNumberFormat="1">
      <alignment vertical="center"/>
    </xf>
    <xf numFmtId="41" fontId="12" fillId="0" borderId="0" xfId="1" applyFont="1" applyFill="1" applyBorder="1" applyAlignment="1">
      <alignment horizontal="left" vertical="center"/>
    </xf>
    <xf numFmtId="178" fontId="0" fillId="0" borderId="0" xfId="0" applyNumberFormat="1">
      <alignment vertical="center"/>
    </xf>
    <xf numFmtId="41" fontId="11" fillId="0" borderId="56" xfId="1" applyFont="1" applyFill="1" applyBorder="1" applyAlignment="1">
      <alignment horizontal="center" vertical="center"/>
    </xf>
    <xf numFmtId="41" fontId="11" fillId="0" borderId="0" xfId="1" applyFont="1" applyFill="1" applyBorder="1" applyAlignment="1">
      <alignment horizontal="center" vertical="center"/>
    </xf>
    <xf numFmtId="41" fontId="10" fillId="0" borderId="57" xfId="1" applyFont="1" applyFill="1" applyBorder="1" applyAlignment="1">
      <alignment horizontal="center" vertical="center"/>
    </xf>
    <xf numFmtId="41" fontId="10" fillId="0" borderId="19" xfId="1" applyFont="1" applyFill="1" applyBorder="1" applyAlignment="1">
      <alignment horizontal="center" vertical="center"/>
    </xf>
    <xf numFmtId="41" fontId="10" fillId="0" borderId="55" xfId="1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41" fontId="10" fillId="0" borderId="38" xfId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4FBA-182A-4B14-8DA4-F176BAF9E13E}">
  <sheetPr>
    <tabColor rgb="FFFFFF00"/>
  </sheetPr>
  <dimension ref="A1:AD368"/>
  <sheetViews>
    <sheetView tabSelected="1" zoomScale="60" zoomScaleNormal="60" workbookViewId="0">
      <pane xSplit="2" ySplit="4" topLeftCell="C187" activePane="bottomRight" state="frozen"/>
      <selection activeCell="L114" sqref="L114"/>
      <selection pane="topRight" activeCell="L114" sqref="L114"/>
      <selection pane="bottomLeft" activeCell="L114" sqref="L114"/>
      <selection pane="bottomRight" activeCell="D224" sqref="D224"/>
    </sheetView>
  </sheetViews>
  <sheetFormatPr defaultRowHeight="17.399999999999999" x14ac:dyDescent="0.4"/>
  <cols>
    <col min="1" max="1" width="11" customWidth="1"/>
    <col min="2" max="2" width="21.59765625" style="1" customWidth="1"/>
    <col min="3" max="3" width="15.59765625" customWidth="1"/>
    <col min="4" max="24" width="14.59765625" customWidth="1"/>
    <col min="25" max="25" width="16.59765625" customWidth="1"/>
    <col min="26" max="26" width="13" customWidth="1"/>
    <col min="29" max="29" width="16.09765625" style="1" bestFit="1" customWidth="1"/>
    <col min="30" max="30" width="12.796875" bestFit="1" customWidth="1"/>
  </cols>
  <sheetData>
    <row r="1" spans="1:28" ht="30" x14ac:dyDescent="0.4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</row>
    <row r="2" spans="1:28" ht="18" thickBot="1" x14ac:dyDescent="0.45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4"/>
      <c r="M2" s="4"/>
      <c r="N2" s="4"/>
      <c r="O2" s="4"/>
      <c r="P2" s="4"/>
      <c r="Q2" s="4"/>
      <c r="R2" s="4"/>
      <c r="S2" s="4"/>
      <c r="T2" s="2"/>
      <c r="U2" s="2"/>
      <c r="V2" s="2"/>
      <c r="W2" s="2"/>
      <c r="X2" s="5"/>
      <c r="Y2" s="6" t="s">
        <v>1</v>
      </c>
    </row>
    <row r="3" spans="1:28" ht="35.1" customHeight="1" x14ac:dyDescent="0.4">
      <c r="A3" s="177" t="s">
        <v>2</v>
      </c>
      <c r="B3" s="179" t="s">
        <v>3</v>
      </c>
      <c r="C3" s="7"/>
      <c r="D3" s="181" t="s">
        <v>4</v>
      </c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3" t="s">
        <v>5</v>
      </c>
    </row>
    <row r="4" spans="1:28" ht="35.1" customHeight="1" x14ac:dyDescent="0.4">
      <c r="A4" s="178"/>
      <c r="B4" s="180"/>
      <c r="C4" s="8" t="s">
        <v>6</v>
      </c>
      <c r="D4" s="9" t="s">
        <v>7</v>
      </c>
      <c r="E4" s="8" t="s">
        <v>8</v>
      </c>
      <c r="F4" s="8" t="s">
        <v>9</v>
      </c>
      <c r="G4" s="10" t="s">
        <v>10</v>
      </c>
      <c r="H4" s="11" t="s">
        <v>11</v>
      </c>
      <c r="I4" s="11" t="s">
        <v>12</v>
      </c>
      <c r="J4" s="11" t="s">
        <v>13</v>
      </c>
      <c r="K4" s="11" t="s">
        <v>14</v>
      </c>
      <c r="L4" s="8" t="s">
        <v>15</v>
      </c>
      <c r="M4" s="8" t="s">
        <v>16</v>
      </c>
      <c r="N4" s="8" t="s">
        <v>17</v>
      </c>
      <c r="O4" s="11" t="s">
        <v>18</v>
      </c>
      <c r="P4" s="10" t="s">
        <v>19</v>
      </c>
      <c r="Q4" s="8" t="s">
        <v>20</v>
      </c>
      <c r="R4" s="8" t="s">
        <v>21</v>
      </c>
      <c r="S4" s="8" t="s">
        <v>22</v>
      </c>
      <c r="T4" s="8" t="s">
        <v>23</v>
      </c>
      <c r="U4" s="8" t="s">
        <v>24</v>
      </c>
      <c r="V4" s="8" t="s">
        <v>25</v>
      </c>
      <c r="W4" s="8" t="s">
        <v>26</v>
      </c>
      <c r="X4" s="11" t="s">
        <v>27</v>
      </c>
      <c r="Y4" s="184"/>
    </row>
    <row r="5" spans="1:28" s="20" customFormat="1" ht="25.5" customHeight="1" x14ac:dyDescent="0.4">
      <c r="A5" s="185" t="s">
        <v>28</v>
      </c>
      <c r="B5" s="12" t="s">
        <v>29</v>
      </c>
      <c r="C5" s="13">
        <f>SUM(D5:X5)</f>
        <v>324463600</v>
      </c>
      <c r="D5" s="14">
        <v>35319800</v>
      </c>
      <c r="E5" s="13">
        <v>38016000</v>
      </c>
      <c r="F5" s="15">
        <v>0</v>
      </c>
      <c r="G5" s="16">
        <v>0</v>
      </c>
      <c r="H5" s="15">
        <v>0</v>
      </c>
      <c r="I5" s="13">
        <v>22422200</v>
      </c>
      <c r="J5" s="13">
        <v>5273000</v>
      </c>
      <c r="K5" s="17">
        <v>31344000</v>
      </c>
      <c r="L5" s="13">
        <v>17862000</v>
      </c>
      <c r="M5" s="13">
        <v>10274600</v>
      </c>
      <c r="N5" s="13">
        <v>0</v>
      </c>
      <c r="O5" s="15"/>
      <c r="P5" s="16">
        <v>0</v>
      </c>
      <c r="Q5" s="17">
        <v>42217000</v>
      </c>
      <c r="R5" s="15"/>
      <c r="S5" s="17">
        <v>48177000</v>
      </c>
      <c r="T5" s="17">
        <v>73558000</v>
      </c>
      <c r="U5" s="15"/>
      <c r="V5" s="15"/>
      <c r="W5" s="15"/>
      <c r="X5" s="15"/>
      <c r="Y5" s="18"/>
      <c r="Z5" s="19"/>
      <c r="AA5" s="19"/>
      <c r="AB5" s="19"/>
    </row>
    <row r="6" spans="1:28" s="20" customFormat="1" ht="25.5" customHeight="1" x14ac:dyDescent="0.4">
      <c r="A6" s="173"/>
      <c r="B6" s="21" t="s">
        <v>30</v>
      </c>
      <c r="C6" s="22">
        <f t="shared" ref="C6:C13" si="0">SUM(D6:X6)</f>
        <v>355603500</v>
      </c>
      <c r="D6" s="23">
        <v>32341000</v>
      </c>
      <c r="E6" s="22">
        <v>48826000</v>
      </c>
      <c r="F6" s="22">
        <v>0</v>
      </c>
      <c r="G6" s="24">
        <v>0</v>
      </c>
      <c r="H6" s="25">
        <v>0</v>
      </c>
      <c r="I6" s="22">
        <v>24210000</v>
      </c>
      <c r="J6" s="25">
        <v>0</v>
      </c>
      <c r="K6" s="26">
        <v>41355000</v>
      </c>
      <c r="L6" s="22">
        <v>16620000</v>
      </c>
      <c r="M6" s="22">
        <v>10775500</v>
      </c>
      <c r="N6" s="22">
        <v>0</v>
      </c>
      <c r="O6" s="25"/>
      <c r="P6" s="24">
        <v>0</v>
      </c>
      <c r="Q6" s="26">
        <v>35360000</v>
      </c>
      <c r="R6" s="25"/>
      <c r="S6" s="26">
        <v>63276000</v>
      </c>
      <c r="T6" s="26">
        <v>82840000</v>
      </c>
      <c r="U6" s="25"/>
      <c r="V6" s="25"/>
      <c r="W6" s="25"/>
      <c r="X6" s="25"/>
      <c r="Y6" s="27"/>
    </row>
    <row r="7" spans="1:28" s="20" customFormat="1" ht="25.5" customHeight="1" x14ac:dyDescent="0.4">
      <c r="A7" s="173"/>
      <c r="B7" s="21" t="s">
        <v>31</v>
      </c>
      <c r="C7" s="22">
        <f t="shared" si="0"/>
        <v>27625700</v>
      </c>
      <c r="D7" s="23">
        <v>0</v>
      </c>
      <c r="E7" s="22">
        <v>0</v>
      </c>
      <c r="F7" s="22">
        <v>0</v>
      </c>
      <c r="G7" s="28">
        <v>0</v>
      </c>
      <c r="H7" s="25">
        <v>0</v>
      </c>
      <c r="I7" s="22">
        <v>0</v>
      </c>
      <c r="J7" s="25">
        <v>0</v>
      </c>
      <c r="K7" s="25">
        <v>0</v>
      </c>
      <c r="L7" s="22">
        <v>2579000</v>
      </c>
      <c r="M7" s="22">
        <v>3350700</v>
      </c>
      <c r="N7" s="22">
        <v>0</v>
      </c>
      <c r="O7" s="25"/>
      <c r="P7" s="29">
        <v>0</v>
      </c>
      <c r="Q7" s="26">
        <v>0</v>
      </c>
      <c r="R7" s="25"/>
      <c r="S7" s="26">
        <v>18770000</v>
      </c>
      <c r="T7" s="26">
        <v>2926000</v>
      </c>
      <c r="U7" s="25"/>
      <c r="V7" s="25"/>
      <c r="W7" s="25"/>
      <c r="X7" s="25"/>
      <c r="Y7" s="27"/>
      <c r="Z7" s="19">
        <f>IFERROR(#REF!/#REF!-1,0)</f>
        <v>0</v>
      </c>
      <c r="AA7" s="19">
        <f>IFERROR(C7/C6-1,0)</f>
        <v>-0.92231319433020209</v>
      </c>
      <c r="AB7" s="19">
        <f>IFERROR(#REF!/#REF!-1,0)</f>
        <v>0</v>
      </c>
    </row>
    <row r="8" spans="1:28" s="20" customFormat="1" ht="25.5" customHeight="1" x14ac:dyDescent="0.4">
      <c r="A8" s="173"/>
      <c r="B8" s="21" t="s">
        <v>32</v>
      </c>
      <c r="C8" s="22">
        <f t="shared" si="0"/>
        <v>214537341</v>
      </c>
      <c r="D8" s="23">
        <v>8845000</v>
      </c>
      <c r="E8" s="22">
        <v>15793000</v>
      </c>
      <c r="F8" s="22">
        <v>0</v>
      </c>
      <c r="G8" s="28">
        <v>14763900</v>
      </c>
      <c r="H8" s="25">
        <v>0</v>
      </c>
      <c r="I8" s="22">
        <v>802000</v>
      </c>
      <c r="J8" s="25">
        <v>0</v>
      </c>
      <c r="K8" s="25">
        <v>0</v>
      </c>
      <c r="L8" s="22">
        <v>12590000</v>
      </c>
      <c r="M8" s="22">
        <v>8183500</v>
      </c>
      <c r="N8" s="22">
        <v>628000</v>
      </c>
      <c r="O8" s="25"/>
      <c r="P8" s="29">
        <v>0</v>
      </c>
      <c r="Q8" s="26">
        <v>14338000</v>
      </c>
      <c r="R8" s="25"/>
      <c r="S8" s="26">
        <v>71004000</v>
      </c>
      <c r="T8" s="26">
        <v>67589941</v>
      </c>
      <c r="U8" s="25"/>
      <c r="V8" s="25"/>
      <c r="W8" s="25"/>
      <c r="X8" s="25"/>
      <c r="Y8" s="27"/>
      <c r="Z8" s="19"/>
      <c r="AA8" s="19"/>
      <c r="AB8" s="19"/>
    </row>
    <row r="9" spans="1:28" s="20" customFormat="1" ht="25.5" customHeight="1" x14ac:dyDescent="0.4">
      <c r="A9" s="173"/>
      <c r="B9" s="21" t="s">
        <v>33</v>
      </c>
      <c r="C9" s="22">
        <f t="shared" si="0"/>
        <v>438965000</v>
      </c>
      <c r="D9" s="23">
        <v>28021000</v>
      </c>
      <c r="E9" s="22">
        <v>42612000</v>
      </c>
      <c r="F9" s="22">
        <v>0</v>
      </c>
      <c r="G9" s="28">
        <v>49259000</v>
      </c>
      <c r="H9" s="25">
        <v>0</v>
      </c>
      <c r="I9" s="25">
        <v>0</v>
      </c>
      <c r="J9" s="25">
        <v>0</v>
      </c>
      <c r="K9" s="25">
        <v>0</v>
      </c>
      <c r="L9" s="22">
        <v>25430000</v>
      </c>
      <c r="M9" s="22">
        <v>14905000</v>
      </c>
      <c r="N9" s="22">
        <v>384000</v>
      </c>
      <c r="O9" s="25"/>
      <c r="P9" s="29">
        <v>0</v>
      </c>
      <c r="Q9" s="22">
        <v>25703000</v>
      </c>
      <c r="R9" s="25"/>
      <c r="S9" s="26">
        <v>93675000</v>
      </c>
      <c r="T9" s="22">
        <v>158976000</v>
      </c>
      <c r="U9" s="25"/>
      <c r="V9" s="25"/>
      <c r="W9" s="25"/>
      <c r="X9" s="25"/>
      <c r="Y9" s="27"/>
      <c r="Z9" s="19"/>
      <c r="AA9" s="19"/>
      <c r="AB9" s="19"/>
    </row>
    <row r="10" spans="1:28" s="20" customFormat="1" ht="25.5" customHeight="1" x14ac:dyDescent="0.4">
      <c r="A10" s="173"/>
      <c r="B10" s="30" t="s">
        <v>34</v>
      </c>
      <c r="C10" s="31">
        <f t="shared" si="0"/>
        <v>382571750</v>
      </c>
      <c r="D10" s="32">
        <v>25036000</v>
      </c>
      <c r="E10" s="31">
        <v>23915000</v>
      </c>
      <c r="F10" s="31">
        <v>0</v>
      </c>
      <c r="G10" s="33">
        <v>29981000</v>
      </c>
      <c r="H10" s="31">
        <v>45410000</v>
      </c>
      <c r="I10" s="34">
        <v>0</v>
      </c>
      <c r="J10" s="34">
        <v>0</v>
      </c>
      <c r="K10" s="34">
        <v>0</v>
      </c>
      <c r="L10" s="31">
        <v>15180000</v>
      </c>
      <c r="M10" s="31">
        <v>6272500</v>
      </c>
      <c r="N10" s="31">
        <v>384000</v>
      </c>
      <c r="O10" s="34"/>
      <c r="P10" s="33">
        <v>0</v>
      </c>
      <c r="Q10" s="34">
        <v>1967400</v>
      </c>
      <c r="R10" s="34"/>
      <c r="S10" s="35">
        <v>88868000</v>
      </c>
      <c r="T10" s="31">
        <v>130254000</v>
      </c>
      <c r="U10" s="34"/>
      <c r="V10" s="34"/>
      <c r="W10" s="34"/>
      <c r="X10" s="31">
        <v>15303850</v>
      </c>
      <c r="Y10" s="36"/>
      <c r="Z10" s="19"/>
      <c r="AA10" s="19"/>
      <c r="AB10" s="19"/>
    </row>
    <row r="11" spans="1:28" s="20" customFormat="1" ht="25.5" customHeight="1" x14ac:dyDescent="0.4">
      <c r="A11" s="173"/>
      <c r="B11" s="30" t="s">
        <v>35</v>
      </c>
      <c r="C11" s="31">
        <f t="shared" si="0"/>
        <v>489225830</v>
      </c>
      <c r="D11" s="32">
        <v>23623000</v>
      </c>
      <c r="E11" s="31">
        <v>31707000</v>
      </c>
      <c r="F11" s="31">
        <v>26274000</v>
      </c>
      <c r="G11" s="33">
        <v>32300500</v>
      </c>
      <c r="H11" s="31">
        <v>74612000</v>
      </c>
      <c r="I11" s="34">
        <v>0</v>
      </c>
      <c r="J11" s="34">
        <v>0</v>
      </c>
      <c r="K11" s="34">
        <v>0</v>
      </c>
      <c r="L11" s="31">
        <v>19538000</v>
      </c>
      <c r="M11" s="31">
        <v>7266500</v>
      </c>
      <c r="N11" s="31">
        <v>274000</v>
      </c>
      <c r="O11" s="31">
        <v>554000</v>
      </c>
      <c r="P11" s="33">
        <v>0</v>
      </c>
      <c r="Q11" s="34">
        <v>0</v>
      </c>
      <c r="R11" s="34"/>
      <c r="S11" s="31">
        <v>106800000</v>
      </c>
      <c r="T11" s="31">
        <v>122076000</v>
      </c>
      <c r="U11" s="34"/>
      <c r="V11" s="34"/>
      <c r="W11" s="34"/>
      <c r="X11" s="31">
        <v>44200830</v>
      </c>
      <c r="Y11" s="36"/>
      <c r="Z11" s="19"/>
      <c r="AA11" s="19"/>
      <c r="AB11" s="19"/>
    </row>
    <row r="12" spans="1:28" s="44" customFormat="1" ht="25.5" customHeight="1" x14ac:dyDescent="0.4">
      <c r="A12" s="173"/>
      <c r="B12" s="37" t="s">
        <v>36</v>
      </c>
      <c r="C12" s="38">
        <f t="shared" si="0"/>
        <v>631594310</v>
      </c>
      <c r="D12" s="39">
        <v>29727000</v>
      </c>
      <c r="E12" s="38">
        <v>22855000</v>
      </c>
      <c r="F12" s="38">
        <v>17716000</v>
      </c>
      <c r="G12" s="40">
        <v>34331000</v>
      </c>
      <c r="H12" s="38">
        <v>74625000</v>
      </c>
      <c r="I12" s="41">
        <v>0</v>
      </c>
      <c r="J12" s="41">
        <v>0</v>
      </c>
      <c r="K12" s="38">
        <v>18700500</v>
      </c>
      <c r="L12" s="38">
        <v>43213000</v>
      </c>
      <c r="M12" s="38">
        <v>22404000</v>
      </c>
      <c r="N12" s="38">
        <v>303000</v>
      </c>
      <c r="O12" s="38">
        <v>1619000</v>
      </c>
      <c r="P12" s="40">
        <v>0</v>
      </c>
      <c r="Q12" s="41">
        <v>0</v>
      </c>
      <c r="R12" s="38">
        <v>14074000</v>
      </c>
      <c r="S12" s="38">
        <v>127307000</v>
      </c>
      <c r="T12" s="38">
        <v>154550000</v>
      </c>
      <c r="U12" s="38">
        <v>49775000</v>
      </c>
      <c r="V12" s="41">
        <v>0</v>
      </c>
      <c r="W12" s="38">
        <v>154000</v>
      </c>
      <c r="X12" s="38">
        <v>20240810</v>
      </c>
      <c r="Y12" s="42"/>
      <c r="Z12" s="43"/>
      <c r="AA12" s="43"/>
      <c r="AB12" s="43"/>
    </row>
    <row r="13" spans="1:28" s="44" customFormat="1" ht="25.5" customHeight="1" x14ac:dyDescent="0.4">
      <c r="A13" s="173"/>
      <c r="B13" s="45" t="s">
        <v>37</v>
      </c>
      <c r="C13" s="46">
        <f t="shared" si="0"/>
        <v>741400000</v>
      </c>
      <c r="D13" s="47">
        <f>ROUNDUP(D11*102%,-5)</f>
        <v>24100000</v>
      </c>
      <c r="E13" s="46">
        <f t="shared" ref="E13:Q13" si="1">ROUNDUP(E11*102%,-5)</f>
        <v>32400000</v>
      </c>
      <c r="F13" s="46">
        <f t="shared" si="1"/>
        <v>26800000</v>
      </c>
      <c r="G13" s="48">
        <f>ROUNDUP(G11*104%,-5)</f>
        <v>33600000</v>
      </c>
      <c r="H13" s="46">
        <f>ROUNDUP(H11*105%,-5)</f>
        <v>78400000</v>
      </c>
      <c r="I13" s="49">
        <f t="shared" si="1"/>
        <v>0</v>
      </c>
      <c r="J13" s="49">
        <f t="shared" si="1"/>
        <v>0</v>
      </c>
      <c r="K13" s="46">
        <f>ROUNDUP(K6*70%,-5)</f>
        <v>29000000</v>
      </c>
      <c r="L13" s="50">
        <f>ROUNDUP(L11*250%,-5)</f>
        <v>48900000</v>
      </c>
      <c r="M13" s="50">
        <f>ROUNDUP(M11*250%,-5)</f>
        <v>18200000</v>
      </c>
      <c r="N13" s="46">
        <f t="shared" si="1"/>
        <v>300000</v>
      </c>
      <c r="O13" s="46">
        <f t="shared" si="1"/>
        <v>600000</v>
      </c>
      <c r="P13" s="48">
        <f t="shared" si="1"/>
        <v>0</v>
      </c>
      <c r="Q13" s="49">
        <f t="shared" si="1"/>
        <v>0</v>
      </c>
      <c r="R13" s="50">
        <v>15000000</v>
      </c>
      <c r="S13" s="50">
        <f>ROUNDUP(S11*130%,-5)</f>
        <v>138900000</v>
      </c>
      <c r="T13" s="50">
        <f>ROUNDUP(T11*150%,-5)</f>
        <v>183200000</v>
      </c>
      <c r="U13" s="50">
        <v>65000000</v>
      </c>
      <c r="V13" s="49"/>
      <c r="W13" s="50">
        <v>500000</v>
      </c>
      <c r="X13" s="46">
        <f>ROUNDUP(X11*105%,-5)</f>
        <v>46500000</v>
      </c>
      <c r="Y13" s="51" t="s">
        <v>38</v>
      </c>
      <c r="Z13" s="43"/>
      <c r="AA13" s="43">
        <f>D13/D5</f>
        <v>0.68233681957428982</v>
      </c>
      <c r="AB13" s="43"/>
    </row>
    <row r="14" spans="1:28" s="59" customFormat="1" ht="25.5" customHeight="1" x14ac:dyDescent="0.4">
      <c r="A14" s="173"/>
      <c r="B14" s="12" t="s">
        <v>39</v>
      </c>
      <c r="C14" s="52">
        <f>SUM(D14:X14)</f>
        <v>307130710</v>
      </c>
      <c r="D14" s="53">
        <f>D12-D5</f>
        <v>-5592800</v>
      </c>
      <c r="E14" s="52">
        <f t="shared" ref="E14:X14" si="2">E12-E5</f>
        <v>-15161000</v>
      </c>
      <c r="F14" s="54">
        <f t="shared" si="2"/>
        <v>17716000</v>
      </c>
      <c r="G14" s="55">
        <f t="shared" si="2"/>
        <v>34331000</v>
      </c>
      <c r="H14" s="54">
        <f t="shared" si="2"/>
        <v>74625000</v>
      </c>
      <c r="I14" s="52">
        <f t="shared" si="2"/>
        <v>-22422200</v>
      </c>
      <c r="J14" s="52">
        <f t="shared" si="2"/>
        <v>-5273000</v>
      </c>
      <c r="K14" s="56">
        <f t="shared" si="2"/>
        <v>-12643500</v>
      </c>
      <c r="L14" s="52">
        <f t="shared" si="2"/>
        <v>25351000</v>
      </c>
      <c r="M14" s="52">
        <f t="shared" si="2"/>
        <v>12129400</v>
      </c>
      <c r="N14" s="52">
        <f t="shared" si="2"/>
        <v>303000</v>
      </c>
      <c r="O14" s="54">
        <f t="shared" si="2"/>
        <v>1619000</v>
      </c>
      <c r="P14" s="55">
        <f t="shared" si="2"/>
        <v>0</v>
      </c>
      <c r="Q14" s="56">
        <f t="shared" si="2"/>
        <v>-42217000</v>
      </c>
      <c r="R14" s="54">
        <f t="shared" si="2"/>
        <v>14074000</v>
      </c>
      <c r="S14" s="56">
        <f t="shared" si="2"/>
        <v>79130000</v>
      </c>
      <c r="T14" s="56">
        <f t="shared" si="2"/>
        <v>80992000</v>
      </c>
      <c r="U14" s="54">
        <f t="shared" si="2"/>
        <v>49775000</v>
      </c>
      <c r="V14" s="54">
        <f t="shared" si="2"/>
        <v>0</v>
      </c>
      <c r="W14" s="54">
        <f t="shared" si="2"/>
        <v>154000</v>
      </c>
      <c r="X14" s="54">
        <f t="shared" si="2"/>
        <v>20240810</v>
      </c>
      <c r="Y14" s="57"/>
      <c r="Z14" s="58"/>
      <c r="AA14" s="58"/>
      <c r="AB14" s="58"/>
    </row>
    <row r="15" spans="1:28" s="20" customFormat="1" ht="25.5" customHeight="1" x14ac:dyDescent="0.4">
      <c r="A15" s="173"/>
      <c r="B15" s="21" t="s">
        <v>40</v>
      </c>
      <c r="C15" s="60">
        <f>IFERROR(C11/C5,0)</f>
        <v>1.5077988100976505</v>
      </c>
      <c r="D15" s="61">
        <f>IFERROR(D12/D5,0)</f>
        <v>0.84165255748900047</v>
      </c>
      <c r="E15" s="60">
        <f t="shared" ref="E15:X15" si="3">IFERROR(E12/E5,0)</f>
        <v>0.601194234006734</v>
      </c>
      <c r="F15" s="62">
        <f t="shared" si="3"/>
        <v>0</v>
      </c>
      <c r="G15" s="63">
        <f t="shared" si="3"/>
        <v>0</v>
      </c>
      <c r="H15" s="62">
        <f t="shared" si="3"/>
        <v>0</v>
      </c>
      <c r="I15" s="60">
        <f t="shared" si="3"/>
        <v>0</v>
      </c>
      <c r="J15" s="60">
        <f t="shared" si="3"/>
        <v>0</v>
      </c>
      <c r="K15" s="64">
        <f t="shared" si="3"/>
        <v>0.59662136294027568</v>
      </c>
      <c r="L15" s="60">
        <f t="shared" si="3"/>
        <v>2.4192699585712685</v>
      </c>
      <c r="M15" s="60">
        <f t="shared" si="3"/>
        <v>2.1805228427384034</v>
      </c>
      <c r="N15" s="60">
        <f t="shared" si="3"/>
        <v>0</v>
      </c>
      <c r="O15" s="62">
        <f t="shared" si="3"/>
        <v>0</v>
      </c>
      <c r="P15" s="63">
        <f t="shared" si="3"/>
        <v>0</v>
      </c>
      <c r="Q15" s="64">
        <f t="shared" si="3"/>
        <v>0</v>
      </c>
      <c r="R15" s="62">
        <f t="shared" si="3"/>
        <v>0</v>
      </c>
      <c r="S15" s="64">
        <f t="shared" si="3"/>
        <v>2.6424850032173031</v>
      </c>
      <c r="T15" s="64">
        <f t="shared" si="3"/>
        <v>2.101063106664129</v>
      </c>
      <c r="U15" s="62">
        <f t="shared" si="3"/>
        <v>0</v>
      </c>
      <c r="V15" s="62">
        <f t="shared" si="3"/>
        <v>0</v>
      </c>
      <c r="W15" s="62">
        <f t="shared" si="3"/>
        <v>0</v>
      </c>
      <c r="X15" s="62">
        <f t="shared" si="3"/>
        <v>0</v>
      </c>
      <c r="Y15" s="65"/>
      <c r="Z15" s="19"/>
      <c r="AA15" s="19"/>
      <c r="AB15" s="19"/>
    </row>
    <row r="16" spans="1:28" s="59" customFormat="1" ht="25.5" customHeight="1" x14ac:dyDescent="0.4">
      <c r="A16" s="173"/>
      <c r="B16" s="21" t="s">
        <v>41</v>
      </c>
      <c r="C16" s="66">
        <f>SUM(D16:X16)</f>
        <v>275990810</v>
      </c>
      <c r="D16" s="67">
        <f>D12-D6</f>
        <v>-2614000</v>
      </c>
      <c r="E16" s="66">
        <f t="shared" ref="E16:X16" si="4">E12-E6</f>
        <v>-25971000</v>
      </c>
      <c r="F16" s="66">
        <f t="shared" si="4"/>
        <v>17716000</v>
      </c>
      <c r="G16" s="68">
        <f t="shared" si="4"/>
        <v>34331000</v>
      </c>
      <c r="H16" s="69">
        <f t="shared" si="4"/>
        <v>74625000</v>
      </c>
      <c r="I16" s="66">
        <f t="shared" si="4"/>
        <v>-24210000</v>
      </c>
      <c r="J16" s="69">
        <f t="shared" si="4"/>
        <v>0</v>
      </c>
      <c r="K16" s="70">
        <f t="shared" si="4"/>
        <v>-22654500</v>
      </c>
      <c r="L16" s="66">
        <f t="shared" si="4"/>
        <v>26593000</v>
      </c>
      <c r="M16" s="66">
        <f t="shared" si="4"/>
        <v>11628500</v>
      </c>
      <c r="N16" s="66">
        <f t="shared" si="4"/>
        <v>303000</v>
      </c>
      <c r="O16" s="69">
        <f t="shared" si="4"/>
        <v>1619000</v>
      </c>
      <c r="P16" s="68">
        <f t="shared" si="4"/>
        <v>0</v>
      </c>
      <c r="Q16" s="70">
        <f t="shared" si="4"/>
        <v>-35360000</v>
      </c>
      <c r="R16" s="69">
        <f t="shared" si="4"/>
        <v>14074000</v>
      </c>
      <c r="S16" s="70">
        <f t="shared" si="4"/>
        <v>64031000</v>
      </c>
      <c r="T16" s="70">
        <f t="shared" si="4"/>
        <v>71710000</v>
      </c>
      <c r="U16" s="69">
        <f t="shared" si="4"/>
        <v>49775000</v>
      </c>
      <c r="V16" s="69">
        <f t="shared" si="4"/>
        <v>0</v>
      </c>
      <c r="W16" s="69">
        <f t="shared" si="4"/>
        <v>154000</v>
      </c>
      <c r="X16" s="69">
        <f t="shared" si="4"/>
        <v>20240810</v>
      </c>
      <c r="Y16" s="27"/>
      <c r="Z16" s="58"/>
      <c r="AA16" s="58"/>
      <c r="AB16" s="58"/>
    </row>
    <row r="17" spans="1:28" s="20" customFormat="1" ht="25.5" customHeight="1" x14ac:dyDescent="0.4">
      <c r="A17" s="173"/>
      <c r="B17" s="21" t="s">
        <v>42</v>
      </c>
      <c r="C17" s="60">
        <f>IFERROR(C11/C6,0)</f>
        <v>1.3757621339497501</v>
      </c>
      <c r="D17" s="61">
        <f>IFERROR(D12/D6,0)</f>
        <v>0.91917380414953154</v>
      </c>
      <c r="E17" s="60">
        <f t="shared" ref="E17:X17" si="5">IFERROR(E12/E6,0)</f>
        <v>0.46809077131036742</v>
      </c>
      <c r="F17" s="60">
        <f t="shared" si="5"/>
        <v>0</v>
      </c>
      <c r="G17" s="63">
        <f t="shared" si="5"/>
        <v>0</v>
      </c>
      <c r="H17" s="62">
        <f t="shared" si="5"/>
        <v>0</v>
      </c>
      <c r="I17" s="60">
        <f t="shared" si="5"/>
        <v>0</v>
      </c>
      <c r="J17" s="62">
        <f t="shared" si="5"/>
        <v>0</v>
      </c>
      <c r="K17" s="64">
        <f t="shared" si="5"/>
        <v>0.45219441421835327</v>
      </c>
      <c r="L17" s="60">
        <f t="shared" si="5"/>
        <v>2.6000601684717206</v>
      </c>
      <c r="M17" s="60">
        <f t="shared" si="5"/>
        <v>2.0791610598116095</v>
      </c>
      <c r="N17" s="60">
        <f t="shared" si="5"/>
        <v>0</v>
      </c>
      <c r="O17" s="62">
        <f t="shared" si="5"/>
        <v>0</v>
      </c>
      <c r="P17" s="63">
        <f t="shared" si="5"/>
        <v>0</v>
      </c>
      <c r="Q17" s="64">
        <f t="shared" si="5"/>
        <v>0</v>
      </c>
      <c r="R17" s="62">
        <f t="shared" si="5"/>
        <v>0</v>
      </c>
      <c r="S17" s="64">
        <f t="shared" si="5"/>
        <v>2.0119318540995006</v>
      </c>
      <c r="T17" s="64">
        <f t="shared" si="5"/>
        <v>1.8656446161274747</v>
      </c>
      <c r="U17" s="62">
        <f t="shared" si="5"/>
        <v>0</v>
      </c>
      <c r="V17" s="62">
        <f t="shared" si="5"/>
        <v>0</v>
      </c>
      <c r="W17" s="62">
        <f t="shared" si="5"/>
        <v>0</v>
      </c>
      <c r="X17" s="62">
        <f t="shared" si="5"/>
        <v>0</v>
      </c>
      <c r="Y17" s="65"/>
      <c r="Z17" s="19"/>
      <c r="AA17" s="19"/>
      <c r="AB17" s="19"/>
    </row>
    <row r="18" spans="1:28" s="59" customFormat="1" ht="25.5" customHeight="1" x14ac:dyDescent="0.4">
      <c r="A18" s="173"/>
      <c r="B18" s="21" t="s">
        <v>43</v>
      </c>
      <c r="C18" s="66">
        <f>SUM(D18:X18)</f>
        <v>603968610</v>
      </c>
      <c r="D18" s="67">
        <f>D12-D7</f>
        <v>29727000</v>
      </c>
      <c r="E18" s="66">
        <f t="shared" ref="E18:X18" si="6">E12-E7</f>
        <v>22855000</v>
      </c>
      <c r="F18" s="66">
        <f t="shared" si="6"/>
        <v>17716000</v>
      </c>
      <c r="G18" s="71">
        <f t="shared" si="6"/>
        <v>34331000</v>
      </c>
      <c r="H18" s="69">
        <f t="shared" si="6"/>
        <v>74625000</v>
      </c>
      <c r="I18" s="66">
        <f t="shared" si="6"/>
        <v>0</v>
      </c>
      <c r="J18" s="69">
        <f t="shared" si="6"/>
        <v>0</v>
      </c>
      <c r="K18" s="25">
        <f t="shared" si="6"/>
        <v>18700500</v>
      </c>
      <c r="L18" s="66">
        <f t="shared" si="6"/>
        <v>40634000</v>
      </c>
      <c r="M18" s="66">
        <f t="shared" si="6"/>
        <v>19053300</v>
      </c>
      <c r="N18" s="66">
        <f t="shared" si="6"/>
        <v>303000</v>
      </c>
      <c r="O18" s="69">
        <f t="shared" si="6"/>
        <v>1619000</v>
      </c>
      <c r="P18" s="72">
        <f t="shared" si="6"/>
        <v>0</v>
      </c>
      <c r="Q18" s="70">
        <f t="shared" si="6"/>
        <v>0</v>
      </c>
      <c r="R18" s="69">
        <f t="shared" si="6"/>
        <v>14074000</v>
      </c>
      <c r="S18" s="70">
        <f t="shared" si="6"/>
        <v>108537000</v>
      </c>
      <c r="T18" s="70">
        <f t="shared" si="6"/>
        <v>151624000</v>
      </c>
      <c r="U18" s="69">
        <f t="shared" si="6"/>
        <v>49775000</v>
      </c>
      <c r="V18" s="69">
        <f t="shared" si="6"/>
        <v>0</v>
      </c>
      <c r="W18" s="69">
        <f t="shared" si="6"/>
        <v>154000</v>
      </c>
      <c r="X18" s="69">
        <f t="shared" si="6"/>
        <v>20240810</v>
      </c>
      <c r="Y18" s="27"/>
      <c r="Z18" s="58"/>
      <c r="AA18" s="58"/>
      <c r="AB18" s="58"/>
    </row>
    <row r="19" spans="1:28" s="20" customFormat="1" ht="25.5" customHeight="1" x14ac:dyDescent="0.4">
      <c r="A19" s="173"/>
      <c r="B19" s="21" t="s">
        <v>44</v>
      </c>
      <c r="C19" s="60">
        <f>IFERROR(C11/C7,0)</f>
        <v>17.70908357073305</v>
      </c>
      <c r="D19" s="61">
        <f>IFERROR(D12/D7,0)</f>
        <v>0</v>
      </c>
      <c r="E19" s="60">
        <f t="shared" ref="E19:X19" si="7">IFERROR(E12/E7,0)</f>
        <v>0</v>
      </c>
      <c r="F19" s="60">
        <f t="shared" si="7"/>
        <v>0</v>
      </c>
      <c r="G19" s="73">
        <f t="shared" si="7"/>
        <v>0</v>
      </c>
      <c r="H19" s="62">
        <f t="shared" si="7"/>
        <v>0</v>
      </c>
      <c r="I19" s="60">
        <f t="shared" si="7"/>
        <v>0</v>
      </c>
      <c r="J19" s="62">
        <f t="shared" si="7"/>
        <v>0</v>
      </c>
      <c r="K19" s="62">
        <f t="shared" si="7"/>
        <v>0</v>
      </c>
      <c r="L19" s="60">
        <f t="shared" si="7"/>
        <v>16.755719271035286</v>
      </c>
      <c r="M19" s="60">
        <f t="shared" si="7"/>
        <v>6.6863640433342288</v>
      </c>
      <c r="N19" s="60">
        <f t="shared" si="7"/>
        <v>0</v>
      </c>
      <c r="O19" s="62">
        <f t="shared" si="7"/>
        <v>0</v>
      </c>
      <c r="P19" s="74">
        <f t="shared" si="7"/>
        <v>0</v>
      </c>
      <c r="Q19" s="64">
        <f t="shared" si="7"/>
        <v>0</v>
      </c>
      <c r="R19" s="62">
        <f t="shared" si="7"/>
        <v>0</v>
      </c>
      <c r="S19" s="64">
        <f t="shared" si="7"/>
        <v>6.7824720298348424</v>
      </c>
      <c r="T19" s="64">
        <f t="shared" si="7"/>
        <v>52.819548872180448</v>
      </c>
      <c r="U19" s="62">
        <f t="shared" si="7"/>
        <v>0</v>
      </c>
      <c r="V19" s="62">
        <f t="shared" si="7"/>
        <v>0</v>
      </c>
      <c r="W19" s="62">
        <f t="shared" si="7"/>
        <v>0</v>
      </c>
      <c r="X19" s="62">
        <f t="shared" si="7"/>
        <v>0</v>
      </c>
      <c r="Y19" s="65"/>
      <c r="Z19" s="19"/>
      <c r="AA19" s="19"/>
      <c r="AB19" s="19"/>
    </row>
    <row r="20" spans="1:28" s="59" customFormat="1" ht="25.5" customHeight="1" x14ac:dyDescent="0.4">
      <c r="A20" s="173"/>
      <c r="B20" s="21" t="s">
        <v>45</v>
      </c>
      <c r="C20" s="66">
        <f>SUM(D20:X20)</f>
        <v>417056969</v>
      </c>
      <c r="D20" s="67">
        <f>D12-D8</f>
        <v>20882000</v>
      </c>
      <c r="E20" s="66">
        <f t="shared" ref="E20:X20" si="8">E12-E8</f>
        <v>7062000</v>
      </c>
      <c r="F20" s="66">
        <f t="shared" si="8"/>
        <v>17716000</v>
      </c>
      <c r="G20" s="71">
        <f t="shared" si="8"/>
        <v>19567100</v>
      </c>
      <c r="H20" s="69">
        <f t="shared" si="8"/>
        <v>74625000</v>
      </c>
      <c r="I20" s="66">
        <f t="shared" si="8"/>
        <v>-802000</v>
      </c>
      <c r="J20" s="69">
        <f t="shared" si="8"/>
        <v>0</v>
      </c>
      <c r="K20" s="25">
        <f t="shared" si="8"/>
        <v>18700500</v>
      </c>
      <c r="L20" s="66">
        <f t="shared" si="8"/>
        <v>30623000</v>
      </c>
      <c r="M20" s="66">
        <f t="shared" si="8"/>
        <v>14220500</v>
      </c>
      <c r="N20" s="66">
        <f t="shared" si="8"/>
        <v>-325000</v>
      </c>
      <c r="O20" s="69">
        <f t="shared" si="8"/>
        <v>1619000</v>
      </c>
      <c r="P20" s="72">
        <f t="shared" si="8"/>
        <v>0</v>
      </c>
      <c r="Q20" s="70">
        <f t="shared" si="8"/>
        <v>-14338000</v>
      </c>
      <c r="R20" s="69">
        <f t="shared" si="8"/>
        <v>14074000</v>
      </c>
      <c r="S20" s="70">
        <f t="shared" si="8"/>
        <v>56303000</v>
      </c>
      <c r="T20" s="70">
        <f t="shared" si="8"/>
        <v>86960059</v>
      </c>
      <c r="U20" s="69">
        <f t="shared" si="8"/>
        <v>49775000</v>
      </c>
      <c r="V20" s="69">
        <f t="shared" si="8"/>
        <v>0</v>
      </c>
      <c r="W20" s="69">
        <f t="shared" si="8"/>
        <v>154000</v>
      </c>
      <c r="X20" s="69">
        <f t="shared" si="8"/>
        <v>20240810</v>
      </c>
      <c r="Y20" s="27"/>
      <c r="Z20" s="58"/>
      <c r="AA20" s="58"/>
      <c r="AB20" s="58"/>
    </row>
    <row r="21" spans="1:28" s="20" customFormat="1" ht="25.5" customHeight="1" x14ac:dyDescent="0.4">
      <c r="A21" s="173"/>
      <c r="B21" s="21" t="s">
        <v>46</v>
      </c>
      <c r="C21" s="60">
        <f>IFERROR(C11/C8,0)</f>
        <v>2.2803761234273896</v>
      </c>
      <c r="D21" s="61">
        <f>IFERROR(D12/D8,0)</f>
        <v>3.3608818541548899</v>
      </c>
      <c r="E21" s="60">
        <f t="shared" ref="E21:X21" si="9">IFERROR(E12/E8,0)</f>
        <v>1.4471601342366871</v>
      </c>
      <c r="F21" s="60">
        <f t="shared" si="9"/>
        <v>0</v>
      </c>
      <c r="G21" s="73">
        <f t="shared" si="9"/>
        <v>2.3253340919404764</v>
      </c>
      <c r="H21" s="62">
        <f t="shared" si="9"/>
        <v>0</v>
      </c>
      <c r="I21" s="60">
        <f t="shared" si="9"/>
        <v>0</v>
      </c>
      <c r="J21" s="62">
        <f t="shared" si="9"/>
        <v>0</v>
      </c>
      <c r="K21" s="62">
        <f t="shared" si="9"/>
        <v>0</v>
      </c>
      <c r="L21" s="60">
        <f t="shared" si="9"/>
        <v>3.4323272438443211</v>
      </c>
      <c r="M21" s="60">
        <f t="shared" si="9"/>
        <v>2.737703916417181</v>
      </c>
      <c r="N21" s="60">
        <f t="shared" si="9"/>
        <v>0.48248407643312102</v>
      </c>
      <c r="O21" s="62">
        <f t="shared" si="9"/>
        <v>0</v>
      </c>
      <c r="P21" s="74">
        <f t="shared" si="9"/>
        <v>0</v>
      </c>
      <c r="Q21" s="64">
        <f t="shared" si="9"/>
        <v>0</v>
      </c>
      <c r="R21" s="62">
        <f t="shared" si="9"/>
        <v>0</v>
      </c>
      <c r="S21" s="64">
        <f t="shared" si="9"/>
        <v>1.7929553264604812</v>
      </c>
      <c r="T21" s="64">
        <f t="shared" si="9"/>
        <v>2.2865828511375681</v>
      </c>
      <c r="U21" s="62">
        <f t="shared" si="9"/>
        <v>0</v>
      </c>
      <c r="V21" s="62">
        <f t="shared" si="9"/>
        <v>0</v>
      </c>
      <c r="W21" s="62">
        <f t="shared" si="9"/>
        <v>0</v>
      </c>
      <c r="X21" s="62">
        <f t="shared" si="9"/>
        <v>0</v>
      </c>
      <c r="Y21" s="65"/>
      <c r="Z21" s="19"/>
      <c r="AA21" s="19"/>
      <c r="AB21" s="19"/>
    </row>
    <row r="22" spans="1:28" s="59" customFormat="1" ht="25.5" customHeight="1" x14ac:dyDescent="0.4">
      <c r="A22" s="173"/>
      <c r="B22" s="21" t="s">
        <v>47</v>
      </c>
      <c r="C22" s="66">
        <f>SUM(D22:X22)</f>
        <v>192629310</v>
      </c>
      <c r="D22" s="67">
        <f>D12-D9</f>
        <v>1706000</v>
      </c>
      <c r="E22" s="66">
        <f t="shared" ref="E22:X22" si="10">E12-E9</f>
        <v>-19757000</v>
      </c>
      <c r="F22" s="66">
        <f t="shared" si="10"/>
        <v>17716000</v>
      </c>
      <c r="G22" s="71">
        <f t="shared" si="10"/>
        <v>-14928000</v>
      </c>
      <c r="H22" s="69">
        <f t="shared" si="10"/>
        <v>74625000</v>
      </c>
      <c r="I22" s="69">
        <f t="shared" si="10"/>
        <v>0</v>
      </c>
      <c r="J22" s="69">
        <f t="shared" si="10"/>
        <v>0</v>
      </c>
      <c r="K22" s="25">
        <f t="shared" si="10"/>
        <v>18700500</v>
      </c>
      <c r="L22" s="66">
        <f t="shared" si="10"/>
        <v>17783000</v>
      </c>
      <c r="M22" s="66">
        <f t="shared" si="10"/>
        <v>7499000</v>
      </c>
      <c r="N22" s="66">
        <f t="shared" si="10"/>
        <v>-81000</v>
      </c>
      <c r="O22" s="69">
        <f t="shared" si="10"/>
        <v>1619000</v>
      </c>
      <c r="P22" s="72">
        <f t="shared" si="10"/>
        <v>0</v>
      </c>
      <c r="Q22" s="66">
        <f t="shared" si="10"/>
        <v>-25703000</v>
      </c>
      <c r="R22" s="69">
        <f t="shared" si="10"/>
        <v>14074000</v>
      </c>
      <c r="S22" s="70">
        <f t="shared" si="10"/>
        <v>33632000</v>
      </c>
      <c r="T22" s="66">
        <f t="shared" si="10"/>
        <v>-4426000</v>
      </c>
      <c r="U22" s="69">
        <f t="shared" si="10"/>
        <v>49775000</v>
      </c>
      <c r="V22" s="69">
        <f t="shared" si="10"/>
        <v>0</v>
      </c>
      <c r="W22" s="69">
        <f t="shared" si="10"/>
        <v>154000</v>
      </c>
      <c r="X22" s="69">
        <f t="shared" si="10"/>
        <v>20240810</v>
      </c>
      <c r="Y22" s="27"/>
      <c r="Z22" s="58"/>
      <c r="AA22" s="58"/>
      <c r="AB22" s="58"/>
    </row>
    <row r="23" spans="1:28" s="20" customFormat="1" ht="25.5" customHeight="1" x14ac:dyDescent="0.4">
      <c r="A23" s="173"/>
      <c r="B23" s="21" t="s">
        <v>48</v>
      </c>
      <c r="C23" s="60">
        <f>IFERROR(C11/C9,0)</f>
        <v>1.1144984907680566</v>
      </c>
      <c r="D23" s="61">
        <f>IFERROR(D12/D9,0)</f>
        <v>1.0608829092466365</v>
      </c>
      <c r="E23" s="60">
        <f t="shared" ref="E23:X23" si="11">IFERROR(E12/E9,0)</f>
        <v>0.53635126255514876</v>
      </c>
      <c r="F23" s="60">
        <f t="shared" si="11"/>
        <v>0</v>
      </c>
      <c r="G23" s="73">
        <f t="shared" si="11"/>
        <v>0.69694878093343349</v>
      </c>
      <c r="H23" s="62">
        <f t="shared" si="11"/>
        <v>0</v>
      </c>
      <c r="I23" s="62">
        <f t="shared" si="11"/>
        <v>0</v>
      </c>
      <c r="J23" s="62">
        <f t="shared" si="11"/>
        <v>0</v>
      </c>
      <c r="K23" s="62">
        <f t="shared" si="11"/>
        <v>0</v>
      </c>
      <c r="L23" s="60">
        <f t="shared" si="11"/>
        <v>1.6992921745969327</v>
      </c>
      <c r="M23" s="60">
        <f t="shared" si="11"/>
        <v>1.503119758470312</v>
      </c>
      <c r="N23" s="60">
        <f t="shared" si="11"/>
        <v>0.7890625</v>
      </c>
      <c r="O23" s="62">
        <f t="shared" si="11"/>
        <v>0</v>
      </c>
      <c r="P23" s="74">
        <f t="shared" si="11"/>
        <v>0</v>
      </c>
      <c r="Q23" s="60">
        <f t="shared" si="11"/>
        <v>0</v>
      </c>
      <c r="R23" s="62">
        <f t="shared" si="11"/>
        <v>0</v>
      </c>
      <c r="S23" s="64">
        <f t="shared" si="11"/>
        <v>1.359028556178276</v>
      </c>
      <c r="T23" s="60">
        <f t="shared" si="11"/>
        <v>0.97215931964573266</v>
      </c>
      <c r="U23" s="62">
        <f t="shared" si="11"/>
        <v>0</v>
      </c>
      <c r="V23" s="62">
        <f t="shared" si="11"/>
        <v>0</v>
      </c>
      <c r="W23" s="62">
        <f t="shared" si="11"/>
        <v>0</v>
      </c>
      <c r="X23" s="62">
        <f t="shared" si="11"/>
        <v>0</v>
      </c>
      <c r="Y23" s="65"/>
      <c r="Z23" s="19"/>
      <c r="AA23" s="19"/>
      <c r="AB23" s="19"/>
    </row>
    <row r="24" spans="1:28" s="20" customFormat="1" ht="25.5" customHeight="1" x14ac:dyDescent="0.4">
      <c r="A24" s="173"/>
      <c r="B24" s="21" t="s">
        <v>49</v>
      </c>
      <c r="C24" s="66">
        <f>SUM(D24:X24)</f>
        <v>249022560</v>
      </c>
      <c r="D24" s="67">
        <f>D12-D10</f>
        <v>4691000</v>
      </c>
      <c r="E24" s="66">
        <f t="shared" ref="E24:X24" si="12">E12-E10</f>
        <v>-1060000</v>
      </c>
      <c r="F24" s="66">
        <f t="shared" si="12"/>
        <v>17716000</v>
      </c>
      <c r="G24" s="71">
        <f t="shared" si="12"/>
        <v>4350000</v>
      </c>
      <c r="H24" s="66">
        <f t="shared" si="12"/>
        <v>29215000</v>
      </c>
      <c r="I24" s="69">
        <f t="shared" si="12"/>
        <v>0</v>
      </c>
      <c r="J24" s="69">
        <f t="shared" si="12"/>
        <v>0</v>
      </c>
      <c r="K24" s="25">
        <f t="shared" si="12"/>
        <v>18700500</v>
      </c>
      <c r="L24" s="66">
        <f t="shared" si="12"/>
        <v>28033000</v>
      </c>
      <c r="M24" s="66">
        <f t="shared" si="12"/>
        <v>16131500</v>
      </c>
      <c r="N24" s="66">
        <f t="shared" si="12"/>
        <v>-81000</v>
      </c>
      <c r="O24" s="69">
        <f t="shared" si="12"/>
        <v>1619000</v>
      </c>
      <c r="P24" s="71">
        <f t="shared" si="12"/>
        <v>0</v>
      </c>
      <c r="Q24" s="69">
        <f t="shared" si="12"/>
        <v>-1967400</v>
      </c>
      <c r="R24" s="69">
        <f t="shared" si="12"/>
        <v>14074000</v>
      </c>
      <c r="S24" s="70">
        <f t="shared" si="12"/>
        <v>38439000</v>
      </c>
      <c r="T24" s="66">
        <f t="shared" si="12"/>
        <v>24296000</v>
      </c>
      <c r="U24" s="69">
        <f t="shared" si="12"/>
        <v>49775000</v>
      </c>
      <c r="V24" s="69">
        <f t="shared" si="12"/>
        <v>0</v>
      </c>
      <c r="W24" s="69">
        <f t="shared" si="12"/>
        <v>154000</v>
      </c>
      <c r="X24" s="66">
        <f t="shared" si="12"/>
        <v>4936960</v>
      </c>
      <c r="Y24" s="27"/>
      <c r="Z24" s="19"/>
      <c r="AA24" s="19"/>
      <c r="AB24" s="19"/>
    </row>
    <row r="25" spans="1:28" s="20" customFormat="1" ht="25.5" customHeight="1" x14ac:dyDescent="0.4">
      <c r="A25" s="173"/>
      <c r="B25" s="21" t="s">
        <v>50</v>
      </c>
      <c r="C25" s="60">
        <f>IFERROR(C11/C10,0)</f>
        <v>1.2787819016955644</v>
      </c>
      <c r="D25" s="61">
        <f>IFERROR(D12/D10,0)</f>
        <v>1.1873701869308195</v>
      </c>
      <c r="E25" s="60">
        <f t="shared" ref="E25:X25" si="13">IFERROR(E12/E10,0)</f>
        <v>0.95567635375287474</v>
      </c>
      <c r="F25" s="60">
        <f t="shared" si="13"/>
        <v>0</v>
      </c>
      <c r="G25" s="73">
        <f t="shared" si="13"/>
        <v>1.1450918915313031</v>
      </c>
      <c r="H25" s="60">
        <f t="shared" si="13"/>
        <v>1.6433604932834178</v>
      </c>
      <c r="I25" s="62">
        <f t="shared" si="13"/>
        <v>0</v>
      </c>
      <c r="J25" s="62">
        <f t="shared" si="13"/>
        <v>0</v>
      </c>
      <c r="K25" s="62">
        <f t="shared" si="13"/>
        <v>0</v>
      </c>
      <c r="L25" s="60">
        <f t="shared" si="13"/>
        <v>2.8467061923583663</v>
      </c>
      <c r="M25" s="60">
        <f t="shared" si="13"/>
        <v>3.5717815862893585</v>
      </c>
      <c r="N25" s="60">
        <f t="shared" si="13"/>
        <v>0.7890625</v>
      </c>
      <c r="O25" s="62">
        <f t="shared" si="13"/>
        <v>0</v>
      </c>
      <c r="P25" s="73">
        <f t="shared" si="13"/>
        <v>0</v>
      </c>
      <c r="Q25" s="62">
        <f t="shared" si="13"/>
        <v>0</v>
      </c>
      <c r="R25" s="62">
        <f t="shared" si="13"/>
        <v>0</v>
      </c>
      <c r="S25" s="64">
        <f t="shared" si="13"/>
        <v>1.4325403969932935</v>
      </c>
      <c r="T25" s="60">
        <f t="shared" si="13"/>
        <v>1.1865278609486081</v>
      </c>
      <c r="U25" s="62">
        <f t="shared" si="13"/>
        <v>0</v>
      </c>
      <c r="V25" s="62">
        <f t="shared" si="13"/>
        <v>0</v>
      </c>
      <c r="W25" s="62">
        <f t="shared" si="13"/>
        <v>0</v>
      </c>
      <c r="X25" s="60">
        <f t="shared" si="13"/>
        <v>1.3225959480784246</v>
      </c>
      <c r="Y25" s="65"/>
      <c r="Z25" s="19"/>
      <c r="AA25" s="19"/>
      <c r="AB25" s="19"/>
    </row>
    <row r="26" spans="1:28" s="20" customFormat="1" ht="25.5" customHeight="1" x14ac:dyDescent="0.4">
      <c r="A26" s="173"/>
      <c r="B26" s="21" t="s">
        <v>51</v>
      </c>
      <c r="C26" s="66">
        <f>SUM(D26:X26)</f>
        <v>142368480</v>
      </c>
      <c r="D26" s="67">
        <f>D12-D11</f>
        <v>6104000</v>
      </c>
      <c r="E26" s="66">
        <f t="shared" ref="E26:X26" si="14">E12-E11</f>
        <v>-8852000</v>
      </c>
      <c r="F26" s="66">
        <f t="shared" si="14"/>
        <v>-8558000</v>
      </c>
      <c r="G26" s="71">
        <f t="shared" si="14"/>
        <v>2030500</v>
      </c>
      <c r="H26" s="66">
        <f t="shared" si="14"/>
        <v>13000</v>
      </c>
      <c r="I26" s="69">
        <f t="shared" si="14"/>
        <v>0</v>
      </c>
      <c r="J26" s="69">
        <f t="shared" si="14"/>
        <v>0</v>
      </c>
      <c r="K26" s="22">
        <f t="shared" si="14"/>
        <v>18700500</v>
      </c>
      <c r="L26" s="66">
        <f t="shared" si="14"/>
        <v>23675000</v>
      </c>
      <c r="M26" s="66">
        <f t="shared" si="14"/>
        <v>15137500</v>
      </c>
      <c r="N26" s="66">
        <f t="shared" si="14"/>
        <v>29000</v>
      </c>
      <c r="O26" s="69">
        <f t="shared" si="14"/>
        <v>1065000</v>
      </c>
      <c r="P26" s="71">
        <f t="shared" si="14"/>
        <v>0</v>
      </c>
      <c r="Q26" s="69">
        <f t="shared" si="14"/>
        <v>0</v>
      </c>
      <c r="R26" s="66">
        <f t="shared" si="14"/>
        <v>14074000</v>
      </c>
      <c r="S26" s="66">
        <f t="shared" si="14"/>
        <v>20507000</v>
      </c>
      <c r="T26" s="66">
        <f t="shared" si="14"/>
        <v>32474000</v>
      </c>
      <c r="U26" s="66">
        <f t="shared" si="14"/>
        <v>49775000</v>
      </c>
      <c r="V26" s="69">
        <f t="shared" si="14"/>
        <v>0</v>
      </c>
      <c r="W26" s="66">
        <f t="shared" si="14"/>
        <v>154000</v>
      </c>
      <c r="X26" s="66">
        <f t="shared" si="14"/>
        <v>-23960020</v>
      </c>
      <c r="Y26" s="27"/>
      <c r="Z26" s="19"/>
      <c r="AA26" s="19"/>
      <c r="AB26" s="19"/>
    </row>
    <row r="27" spans="1:28" s="20" customFormat="1" ht="25.5" customHeight="1" x14ac:dyDescent="0.4">
      <c r="A27" s="173"/>
      <c r="B27" s="21" t="s">
        <v>52</v>
      </c>
      <c r="C27" s="60">
        <f>IFERROR(C13/C12,0)</f>
        <v>1.1738547802940149</v>
      </c>
      <c r="D27" s="61">
        <f>IFERROR(D12/D11,0)</f>
        <v>1.2583922448461244</v>
      </c>
      <c r="E27" s="60">
        <f t="shared" ref="E27:X27" si="15">IFERROR(E12/E11,0)</f>
        <v>0.72081874664900492</v>
      </c>
      <c r="F27" s="60">
        <f t="shared" si="15"/>
        <v>0.67427875466240395</v>
      </c>
      <c r="G27" s="73">
        <f t="shared" si="15"/>
        <v>1.0628628039813626</v>
      </c>
      <c r="H27" s="60">
        <f t="shared" si="15"/>
        <v>1.0001742347075537</v>
      </c>
      <c r="I27" s="62">
        <f t="shared" si="15"/>
        <v>0</v>
      </c>
      <c r="J27" s="62">
        <f t="shared" si="15"/>
        <v>0</v>
      </c>
      <c r="K27" s="60">
        <f t="shared" si="15"/>
        <v>0</v>
      </c>
      <c r="L27" s="60">
        <f t="shared" si="15"/>
        <v>2.2117412222335959</v>
      </c>
      <c r="M27" s="60">
        <f t="shared" si="15"/>
        <v>3.0831899814215924</v>
      </c>
      <c r="N27" s="60">
        <f t="shared" si="15"/>
        <v>1.1058394160583942</v>
      </c>
      <c r="O27" s="62">
        <f t="shared" si="15"/>
        <v>2.9223826714801442</v>
      </c>
      <c r="P27" s="73">
        <f t="shared" si="15"/>
        <v>0</v>
      </c>
      <c r="Q27" s="62">
        <f t="shared" si="15"/>
        <v>0</v>
      </c>
      <c r="R27" s="60">
        <f t="shared" si="15"/>
        <v>0</v>
      </c>
      <c r="S27" s="60">
        <f t="shared" si="15"/>
        <v>1.1920131086142323</v>
      </c>
      <c r="T27" s="60">
        <f t="shared" si="15"/>
        <v>1.2660146138471116</v>
      </c>
      <c r="U27" s="60">
        <f t="shared" si="15"/>
        <v>0</v>
      </c>
      <c r="V27" s="62">
        <f t="shared" si="15"/>
        <v>0</v>
      </c>
      <c r="W27" s="60">
        <f t="shared" si="15"/>
        <v>0</v>
      </c>
      <c r="X27" s="60">
        <f t="shared" si="15"/>
        <v>0.45792827872236791</v>
      </c>
      <c r="Y27" s="65"/>
      <c r="Z27" s="19"/>
      <c r="AA27" s="19"/>
      <c r="AB27" s="19"/>
    </row>
    <row r="28" spans="1:28" s="82" customFormat="1" ht="25.5" customHeight="1" x14ac:dyDescent="0.4">
      <c r="A28" s="173"/>
      <c r="B28" s="75" t="s">
        <v>53</v>
      </c>
      <c r="C28" s="76">
        <f>SUM(D28:X28)</f>
        <v>-109805690</v>
      </c>
      <c r="D28" s="77">
        <f>D12-D13</f>
        <v>5627000</v>
      </c>
      <c r="E28" s="76">
        <f t="shared" ref="E28:X28" si="16">E12-E13</f>
        <v>-9545000</v>
      </c>
      <c r="F28" s="76">
        <f t="shared" si="16"/>
        <v>-9084000</v>
      </c>
      <c r="G28" s="78">
        <f t="shared" si="16"/>
        <v>731000</v>
      </c>
      <c r="H28" s="76">
        <f t="shared" si="16"/>
        <v>-3775000</v>
      </c>
      <c r="I28" s="79">
        <f t="shared" si="16"/>
        <v>0</v>
      </c>
      <c r="J28" s="79">
        <f t="shared" si="16"/>
        <v>0</v>
      </c>
      <c r="K28" s="76">
        <f t="shared" si="16"/>
        <v>-10299500</v>
      </c>
      <c r="L28" s="76">
        <f t="shared" si="16"/>
        <v>-5687000</v>
      </c>
      <c r="M28" s="76">
        <f t="shared" si="16"/>
        <v>4204000</v>
      </c>
      <c r="N28" s="76">
        <f t="shared" si="16"/>
        <v>3000</v>
      </c>
      <c r="O28" s="76">
        <f t="shared" si="16"/>
        <v>1019000</v>
      </c>
      <c r="P28" s="78">
        <f t="shared" si="16"/>
        <v>0</v>
      </c>
      <c r="Q28" s="79">
        <f t="shared" si="16"/>
        <v>0</v>
      </c>
      <c r="R28" s="76">
        <f t="shared" si="16"/>
        <v>-926000</v>
      </c>
      <c r="S28" s="76">
        <f t="shared" si="16"/>
        <v>-11593000</v>
      </c>
      <c r="T28" s="76">
        <f t="shared" si="16"/>
        <v>-28650000</v>
      </c>
      <c r="U28" s="76">
        <f t="shared" si="16"/>
        <v>-15225000</v>
      </c>
      <c r="V28" s="79">
        <f t="shared" si="16"/>
        <v>0</v>
      </c>
      <c r="W28" s="76">
        <f t="shared" si="16"/>
        <v>-346000</v>
      </c>
      <c r="X28" s="76">
        <f t="shared" si="16"/>
        <v>-26259190</v>
      </c>
      <c r="Y28" s="80"/>
      <c r="Z28" s="81"/>
      <c r="AA28" s="81"/>
      <c r="AB28" s="81"/>
    </row>
    <row r="29" spans="1:28" s="44" customFormat="1" ht="25.5" customHeight="1" thickBot="1" x14ac:dyDescent="0.45">
      <c r="A29" s="174"/>
      <c r="B29" s="83" t="s">
        <v>54</v>
      </c>
      <c r="C29" s="84">
        <f>IFERROR(C11/C13,0)</f>
        <v>0.65986758834637171</v>
      </c>
      <c r="D29" s="85">
        <f>IFERROR(D12/D13,0)</f>
        <v>1.2334854771784232</v>
      </c>
      <c r="E29" s="84">
        <f t="shared" ref="E29:X29" si="17">IFERROR(E12/E13,0)</f>
        <v>0.70540123456790127</v>
      </c>
      <c r="F29" s="84">
        <f t="shared" si="17"/>
        <v>0.66104477611940293</v>
      </c>
      <c r="G29" s="86">
        <f t="shared" si="17"/>
        <v>1.0217559523809523</v>
      </c>
      <c r="H29" s="84">
        <f t="shared" si="17"/>
        <v>0.95184948979591832</v>
      </c>
      <c r="I29" s="87">
        <f t="shared" si="17"/>
        <v>0</v>
      </c>
      <c r="J29" s="87">
        <f t="shared" si="17"/>
        <v>0</v>
      </c>
      <c r="K29" s="84">
        <f t="shared" si="17"/>
        <v>0.64484482758620687</v>
      </c>
      <c r="L29" s="84">
        <f t="shared" si="17"/>
        <v>0.88370143149284253</v>
      </c>
      <c r="M29" s="84">
        <f t="shared" si="17"/>
        <v>1.2309890109890109</v>
      </c>
      <c r="N29" s="84">
        <f t="shared" si="17"/>
        <v>1.01</v>
      </c>
      <c r="O29" s="84">
        <f t="shared" si="17"/>
        <v>2.6983333333333333</v>
      </c>
      <c r="P29" s="86">
        <f t="shared" si="17"/>
        <v>0</v>
      </c>
      <c r="Q29" s="87">
        <f t="shared" si="17"/>
        <v>0</v>
      </c>
      <c r="R29" s="84">
        <f t="shared" si="17"/>
        <v>0.93826666666666669</v>
      </c>
      <c r="S29" s="84">
        <f t="shared" si="17"/>
        <v>0.91653707703383724</v>
      </c>
      <c r="T29" s="84">
        <f t="shared" si="17"/>
        <v>0.84361353711790388</v>
      </c>
      <c r="U29" s="84">
        <f t="shared" si="17"/>
        <v>0.76576923076923076</v>
      </c>
      <c r="V29" s="87">
        <f t="shared" si="17"/>
        <v>0</v>
      </c>
      <c r="W29" s="84">
        <f t="shared" si="17"/>
        <v>0.308</v>
      </c>
      <c r="X29" s="84">
        <f t="shared" si="17"/>
        <v>0.43528623655913978</v>
      </c>
      <c r="Y29" s="88"/>
      <c r="Z29" s="43"/>
      <c r="AA29" s="43"/>
      <c r="AB29" s="43"/>
    </row>
    <row r="30" spans="1:28" s="20" customFormat="1" ht="25.5" customHeight="1" thickTop="1" x14ac:dyDescent="0.4">
      <c r="A30" s="172" t="s">
        <v>55</v>
      </c>
      <c r="B30" s="89" t="s">
        <v>29</v>
      </c>
      <c r="C30" s="90">
        <f>SUM(D30:X30)</f>
        <v>382290500</v>
      </c>
      <c r="D30" s="91">
        <v>34165400</v>
      </c>
      <c r="E30" s="90">
        <v>55481000</v>
      </c>
      <c r="F30" s="92">
        <v>0</v>
      </c>
      <c r="G30" s="93">
        <v>0</v>
      </c>
      <c r="H30" s="92">
        <v>0</v>
      </c>
      <c r="I30" s="90">
        <v>26921600</v>
      </c>
      <c r="J30" s="92">
        <v>0</v>
      </c>
      <c r="K30" s="94">
        <v>44036000</v>
      </c>
      <c r="L30" s="90">
        <v>19846000</v>
      </c>
      <c r="M30" s="90">
        <v>11946500</v>
      </c>
      <c r="N30" s="90">
        <v>0</v>
      </c>
      <c r="O30" s="92"/>
      <c r="P30" s="93">
        <v>0</v>
      </c>
      <c r="Q30" s="94">
        <v>53414000</v>
      </c>
      <c r="R30" s="92"/>
      <c r="S30" s="94">
        <v>56085000</v>
      </c>
      <c r="T30" s="94">
        <v>80395000</v>
      </c>
      <c r="U30" s="92"/>
      <c r="V30" s="92"/>
      <c r="W30" s="92"/>
      <c r="X30" s="92"/>
      <c r="Y30" s="95"/>
      <c r="Z30" s="19"/>
      <c r="AA30" s="19"/>
      <c r="AB30" s="19"/>
    </row>
    <row r="31" spans="1:28" s="20" customFormat="1" ht="25.5" customHeight="1" x14ac:dyDescent="0.4">
      <c r="A31" s="173"/>
      <c r="B31" s="21" t="s">
        <v>30</v>
      </c>
      <c r="C31" s="22">
        <f t="shared" ref="C31:C36" si="18">SUM(D31:X31)</f>
        <v>79096000</v>
      </c>
      <c r="D31" s="23">
        <v>825000</v>
      </c>
      <c r="E31" s="22">
        <v>1414000</v>
      </c>
      <c r="F31" s="22">
        <v>0</v>
      </c>
      <c r="G31" s="24">
        <v>0</v>
      </c>
      <c r="H31" s="25">
        <v>0</v>
      </c>
      <c r="I31" s="22">
        <v>2049000</v>
      </c>
      <c r="J31" s="25">
        <v>0</v>
      </c>
      <c r="K31" s="26">
        <v>4794000</v>
      </c>
      <c r="L31" s="22">
        <v>2672000</v>
      </c>
      <c r="M31" s="22">
        <v>4813000</v>
      </c>
      <c r="N31" s="22">
        <v>0</v>
      </c>
      <c r="O31" s="25"/>
      <c r="P31" s="24">
        <v>0</v>
      </c>
      <c r="Q31" s="26">
        <v>9255000</v>
      </c>
      <c r="R31" s="25"/>
      <c r="S31" s="26">
        <v>28286000</v>
      </c>
      <c r="T31" s="26">
        <v>24988000</v>
      </c>
      <c r="U31" s="25"/>
      <c r="V31" s="25"/>
      <c r="W31" s="25"/>
      <c r="X31" s="25"/>
      <c r="Y31" s="27"/>
    </row>
    <row r="32" spans="1:28" s="20" customFormat="1" ht="25.5" customHeight="1" x14ac:dyDescent="0.4">
      <c r="A32" s="173"/>
      <c r="B32" s="21" t="s">
        <v>31</v>
      </c>
      <c r="C32" s="22">
        <f t="shared" si="18"/>
        <v>32196000</v>
      </c>
      <c r="D32" s="23">
        <v>0</v>
      </c>
      <c r="E32" s="22">
        <v>0</v>
      </c>
      <c r="F32" s="22">
        <v>0</v>
      </c>
      <c r="G32" s="24">
        <v>0</v>
      </c>
      <c r="H32" s="25">
        <v>0</v>
      </c>
      <c r="I32" s="22">
        <v>0</v>
      </c>
      <c r="J32" s="25">
        <v>0</v>
      </c>
      <c r="K32" s="25">
        <v>0</v>
      </c>
      <c r="L32" s="22">
        <v>6369000</v>
      </c>
      <c r="M32" s="22">
        <v>0</v>
      </c>
      <c r="N32" s="22">
        <v>0</v>
      </c>
      <c r="O32" s="25"/>
      <c r="P32" s="29">
        <v>0</v>
      </c>
      <c r="Q32" s="26">
        <v>0</v>
      </c>
      <c r="R32" s="25"/>
      <c r="S32" s="26">
        <v>24422000</v>
      </c>
      <c r="T32" s="26">
        <v>1405000</v>
      </c>
      <c r="U32" s="25"/>
      <c r="V32" s="25"/>
      <c r="W32" s="25"/>
      <c r="X32" s="25"/>
      <c r="Y32" s="27"/>
      <c r="Z32" s="19">
        <f>IFERROR(#REF!/#REF!-1,0)</f>
        <v>0</v>
      </c>
      <c r="AA32" s="19">
        <f>IFERROR(C32/C31-1,0)</f>
        <v>-0.59295033882876502</v>
      </c>
      <c r="AB32" s="19">
        <f>IFERROR(#REF!/#REF!-1,0)</f>
        <v>0</v>
      </c>
    </row>
    <row r="33" spans="1:29" s="20" customFormat="1" ht="25.5" customHeight="1" x14ac:dyDescent="0.4">
      <c r="A33" s="173"/>
      <c r="B33" s="96" t="s">
        <v>56</v>
      </c>
      <c r="C33" s="22">
        <f t="shared" si="18"/>
        <v>178660932</v>
      </c>
      <c r="D33" s="97">
        <v>6933000</v>
      </c>
      <c r="E33" s="98">
        <v>12563000</v>
      </c>
      <c r="F33" s="98">
        <v>0</v>
      </c>
      <c r="G33" s="99">
        <v>9831000</v>
      </c>
      <c r="H33" s="100">
        <v>0</v>
      </c>
      <c r="I33" s="98">
        <v>155000</v>
      </c>
      <c r="J33" s="100">
        <v>0</v>
      </c>
      <c r="K33" s="100">
        <v>0</v>
      </c>
      <c r="L33" s="98">
        <v>11807000</v>
      </c>
      <c r="M33" s="98">
        <v>6944500</v>
      </c>
      <c r="N33" s="98">
        <v>516000</v>
      </c>
      <c r="O33" s="100"/>
      <c r="P33" s="101">
        <v>0</v>
      </c>
      <c r="Q33" s="102">
        <v>11432000</v>
      </c>
      <c r="R33" s="100"/>
      <c r="S33" s="102">
        <v>63523000</v>
      </c>
      <c r="T33" s="102">
        <v>54956432</v>
      </c>
      <c r="U33" s="100"/>
      <c r="V33" s="100"/>
      <c r="W33" s="100"/>
      <c r="X33" s="100"/>
      <c r="Y33" s="103"/>
      <c r="Z33" s="19"/>
      <c r="AA33" s="19"/>
      <c r="AB33" s="19"/>
    </row>
    <row r="34" spans="1:29" s="44" customFormat="1" ht="25.5" customHeight="1" x14ac:dyDescent="0.4">
      <c r="A34" s="173"/>
      <c r="B34" s="21" t="s">
        <v>33</v>
      </c>
      <c r="C34" s="22">
        <f t="shared" si="18"/>
        <v>416627900</v>
      </c>
      <c r="D34" s="23">
        <v>29610000</v>
      </c>
      <c r="E34" s="22">
        <v>42846000</v>
      </c>
      <c r="F34" s="22">
        <v>0</v>
      </c>
      <c r="G34" s="28">
        <v>45147900</v>
      </c>
      <c r="H34" s="25">
        <v>0</v>
      </c>
      <c r="I34" s="25">
        <v>0</v>
      </c>
      <c r="J34" s="25">
        <v>0</v>
      </c>
      <c r="K34" s="25">
        <v>0</v>
      </c>
      <c r="L34" s="22">
        <v>19250000</v>
      </c>
      <c r="M34" s="22">
        <v>12567000</v>
      </c>
      <c r="N34" s="22">
        <v>567000</v>
      </c>
      <c r="O34" s="25"/>
      <c r="P34" s="29">
        <v>0</v>
      </c>
      <c r="Q34" s="22">
        <v>30359000</v>
      </c>
      <c r="R34" s="25"/>
      <c r="S34" s="26">
        <v>84958000</v>
      </c>
      <c r="T34" s="22">
        <v>151323000</v>
      </c>
      <c r="U34" s="25"/>
      <c r="V34" s="25"/>
      <c r="W34" s="25"/>
      <c r="X34" s="25"/>
      <c r="Y34" s="27"/>
      <c r="Z34" s="43"/>
      <c r="AA34" s="43"/>
      <c r="AB34" s="43"/>
      <c r="AC34" s="20"/>
    </row>
    <row r="35" spans="1:29" s="20" customFormat="1" ht="25.5" customHeight="1" x14ac:dyDescent="0.4">
      <c r="A35" s="173"/>
      <c r="B35" s="30" t="s">
        <v>34</v>
      </c>
      <c r="C35" s="22">
        <f t="shared" si="18"/>
        <v>394468650</v>
      </c>
      <c r="D35" s="32">
        <v>27209000</v>
      </c>
      <c r="E35" s="31">
        <v>34216000</v>
      </c>
      <c r="F35" s="31">
        <v>0</v>
      </c>
      <c r="G35" s="33">
        <v>28942400</v>
      </c>
      <c r="H35" s="31">
        <v>50271600</v>
      </c>
      <c r="I35" s="34">
        <v>0</v>
      </c>
      <c r="J35" s="34">
        <v>0</v>
      </c>
      <c r="K35" s="34"/>
      <c r="L35" s="31">
        <v>19903000</v>
      </c>
      <c r="M35" s="31">
        <v>2613000</v>
      </c>
      <c r="N35" s="31">
        <v>869000</v>
      </c>
      <c r="O35" s="34"/>
      <c r="P35" s="33">
        <v>0</v>
      </c>
      <c r="Q35" s="34">
        <v>3351900</v>
      </c>
      <c r="R35" s="34"/>
      <c r="S35" s="35">
        <v>92946000</v>
      </c>
      <c r="T35" s="31">
        <v>124163000</v>
      </c>
      <c r="U35" s="34"/>
      <c r="V35" s="34"/>
      <c r="W35" s="34"/>
      <c r="X35" s="31">
        <v>9983750</v>
      </c>
      <c r="Y35" s="36"/>
      <c r="Z35" s="19"/>
      <c r="AA35" s="19"/>
      <c r="AB35" s="19"/>
    </row>
    <row r="36" spans="1:29" s="20" customFormat="1" ht="25.5" customHeight="1" x14ac:dyDescent="0.4">
      <c r="A36" s="173"/>
      <c r="B36" s="30" t="s">
        <v>57</v>
      </c>
      <c r="C36" s="31">
        <f t="shared" si="18"/>
        <v>355390640</v>
      </c>
      <c r="D36" s="32">
        <v>24194000</v>
      </c>
      <c r="E36" s="31">
        <v>28122000</v>
      </c>
      <c r="F36" s="31">
        <v>19635000</v>
      </c>
      <c r="G36" s="33">
        <v>27500000</v>
      </c>
      <c r="H36" s="31">
        <v>62209000</v>
      </c>
      <c r="I36" s="34">
        <v>0</v>
      </c>
      <c r="J36" s="34">
        <v>0</v>
      </c>
      <c r="K36" s="34">
        <v>0</v>
      </c>
      <c r="L36" s="31">
        <v>15662000</v>
      </c>
      <c r="M36" s="31">
        <v>6422500</v>
      </c>
      <c r="N36" s="31">
        <v>457000</v>
      </c>
      <c r="O36" s="31">
        <v>476000</v>
      </c>
      <c r="P36" s="33">
        <v>0</v>
      </c>
      <c r="Q36" s="34">
        <v>0</v>
      </c>
      <c r="R36" s="34"/>
      <c r="S36" s="31">
        <v>82108000</v>
      </c>
      <c r="T36" s="31">
        <v>75527000</v>
      </c>
      <c r="U36" s="34"/>
      <c r="V36" s="34"/>
      <c r="W36" s="34"/>
      <c r="X36" s="31">
        <v>13078140</v>
      </c>
      <c r="Y36" s="36"/>
      <c r="Z36" s="19"/>
      <c r="AA36" s="19"/>
      <c r="AB36" s="19"/>
    </row>
    <row r="37" spans="1:29" s="44" customFormat="1" ht="25.5" customHeight="1" x14ac:dyDescent="0.4">
      <c r="A37" s="173"/>
      <c r="B37" s="37" t="s">
        <v>36</v>
      </c>
      <c r="C37" s="38">
        <f t="shared" ref="C37:C38" si="19">SUM(D37:X37)</f>
        <v>607503480</v>
      </c>
      <c r="D37" s="39">
        <v>28232000</v>
      </c>
      <c r="E37" s="38">
        <v>32449000</v>
      </c>
      <c r="F37" s="38">
        <v>18253000</v>
      </c>
      <c r="G37" s="40">
        <v>30886700</v>
      </c>
      <c r="H37" s="38">
        <v>74677000</v>
      </c>
      <c r="I37" s="41">
        <v>0</v>
      </c>
      <c r="J37" s="41">
        <v>0</v>
      </c>
      <c r="K37" s="38">
        <v>18199000</v>
      </c>
      <c r="L37" s="38">
        <v>40641000</v>
      </c>
      <c r="M37" s="38">
        <v>27136000</v>
      </c>
      <c r="N37" s="38">
        <v>390000</v>
      </c>
      <c r="O37" s="38">
        <v>1143000</v>
      </c>
      <c r="P37" s="40">
        <v>0</v>
      </c>
      <c r="Q37" s="41">
        <v>0</v>
      </c>
      <c r="R37" s="38">
        <v>11458000</v>
      </c>
      <c r="S37" s="38">
        <v>109087000</v>
      </c>
      <c r="T37" s="38">
        <v>147748000</v>
      </c>
      <c r="U37" s="38">
        <v>55078000</v>
      </c>
      <c r="V37" s="41">
        <v>0</v>
      </c>
      <c r="W37" s="38">
        <v>329000</v>
      </c>
      <c r="X37" s="38">
        <v>11796780</v>
      </c>
      <c r="Y37" s="42"/>
      <c r="Z37" s="43"/>
      <c r="AA37" s="43"/>
      <c r="AB37" s="43"/>
    </row>
    <row r="38" spans="1:29" s="44" customFormat="1" ht="25.5" customHeight="1" x14ac:dyDescent="0.4">
      <c r="A38" s="173"/>
      <c r="B38" s="45" t="s">
        <v>37</v>
      </c>
      <c r="C38" s="46">
        <f t="shared" si="19"/>
        <v>574100000</v>
      </c>
      <c r="D38" s="47">
        <f>ROUNDUP(D36*102%,-5)</f>
        <v>24700000</v>
      </c>
      <c r="E38" s="46">
        <f t="shared" ref="E38:J38" si="20">ROUNDUP(E36*102%,-5)</f>
        <v>28700000</v>
      </c>
      <c r="F38" s="46">
        <f t="shared" si="20"/>
        <v>20100000</v>
      </c>
      <c r="G38" s="48">
        <f>ROUNDUP(G36*104%,-5)</f>
        <v>28600000</v>
      </c>
      <c r="H38" s="46">
        <f>ROUNDUP(H36*105%,-5)</f>
        <v>65400000</v>
      </c>
      <c r="I38" s="49">
        <f t="shared" si="20"/>
        <v>0</v>
      </c>
      <c r="J38" s="49">
        <f t="shared" si="20"/>
        <v>0</v>
      </c>
      <c r="K38" s="46">
        <f>ROUNDUP(K30*70%,-5)</f>
        <v>30900000</v>
      </c>
      <c r="L38" s="50">
        <f>ROUNDUP(L36*250%,-5)</f>
        <v>39200000</v>
      </c>
      <c r="M38" s="50">
        <f>ROUNDUP(M36*250%,-5)</f>
        <v>16100000</v>
      </c>
      <c r="N38" s="46">
        <f t="shared" ref="N38:Q38" si="21">ROUNDUP(N36*102%,-5)</f>
        <v>500000</v>
      </c>
      <c r="O38" s="46">
        <f t="shared" si="21"/>
        <v>500000</v>
      </c>
      <c r="P38" s="48">
        <f t="shared" si="21"/>
        <v>0</v>
      </c>
      <c r="Q38" s="49">
        <f t="shared" si="21"/>
        <v>0</v>
      </c>
      <c r="R38" s="50">
        <v>15000000</v>
      </c>
      <c r="S38" s="50">
        <f>ROUNDUP(S36*130%,-5)</f>
        <v>106800000</v>
      </c>
      <c r="T38" s="50">
        <f>ROUNDUP(T36*150%,-5)</f>
        <v>113300000</v>
      </c>
      <c r="U38" s="50">
        <v>70000000</v>
      </c>
      <c r="V38" s="49">
        <v>0</v>
      </c>
      <c r="W38" s="50">
        <v>500000</v>
      </c>
      <c r="X38" s="46">
        <f>ROUNDUP(X36*105%,-5)</f>
        <v>13800000</v>
      </c>
      <c r="Y38" s="51" t="s">
        <v>38</v>
      </c>
      <c r="Z38" s="43"/>
      <c r="AA38" s="43">
        <f>D38/D30</f>
        <v>0.72295363145170255</v>
      </c>
      <c r="AB38" s="43"/>
    </row>
    <row r="39" spans="1:29" s="59" customFormat="1" ht="25.5" customHeight="1" x14ac:dyDescent="0.4">
      <c r="A39" s="173"/>
      <c r="B39" s="12" t="s">
        <v>39</v>
      </c>
      <c r="C39" s="52">
        <f>SUM(D39:X39)</f>
        <v>225212980</v>
      </c>
      <c r="D39" s="53">
        <f>D37-D30</f>
        <v>-5933400</v>
      </c>
      <c r="E39" s="52">
        <f t="shared" ref="E39:X39" si="22">E37-E30</f>
        <v>-23032000</v>
      </c>
      <c r="F39" s="54">
        <f t="shared" si="22"/>
        <v>18253000</v>
      </c>
      <c r="G39" s="55">
        <f t="shared" si="22"/>
        <v>30886700</v>
      </c>
      <c r="H39" s="54">
        <f t="shared" si="22"/>
        <v>74677000</v>
      </c>
      <c r="I39" s="52">
        <f t="shared" si="22"/>
        <v>-26921600</v>
      </c>
      <c r="J39" s="52">
        <f t="shared" si="22"/>
        <v>0</v>
      </c>
      <c r="K39" s="56">
        <f t="shared" si="22"/>
        <v>-25837000</v>
      </c>
      <c r="L39" s="52">
        <f t="shared" si="22"/>
        <v>20795000</v>
      </c>
      <c r="M39" s="52">
        <f t="shared" si="22"/>
        <v>15189500</v>
      </c>
      <c r="N39" s="52">
        <f t="shared" si="22"/>
        <v>390000</v>
      </c>
      <c r="O39" s="54">
        <f t="shared" si="22"/>
        <v>1143000</v>
      </c>
      <c r="P39" s="55">
        <f t="shared" si="22"/>
        <v>0</v>
      </c>
      <c r="Q39" s="56">
        <f t="shared" si="22"/>
        <v>-53414000</v>
      </c>
      <c r="R39" s="54">
        <f t="shared" si="22"/>
        <v>11458000</v>
      </c>
      <c r="S39" s="56">
        <f t="shared" si="22"/>
        <v>53002000</v>
      </c>
      <c r="T39" s="56">
        <f t="shared" si="22"/>
        <v>67353000</v>
      </c>
      <c r="U39" s="54">
        <f t="shared" si="22"/>
        <v>55078000</v>
      </c>
      <c r="V39" s="54">
        <f t="shared" si="22"/>
        <v>0</v>
      </c>
      <c r="W39" s="54">
        <f t="shared" si="22"/>
        <v>329000</v>
      </c>
      <c r="X39" s="54">
        <f t="shared" si="22"/>
        <v>11796780</v>
      </c>
      <c r="Y39" s="57"/>
      <c r="Z39" s="58"/>
      <c r="AA39" s="58"/>
      <c r="AB39" s="58"/>
    </row>
    <row r="40" spans="1:29" s="20" customFormat="1" ht="25.5" customHeight="1" x14ac:dyDescent="0.4">
      <c r="A40" s="173"/>
      <c r="B40" s="21" t="s">
        <v>40</v>
      </c>
      <c r="C40" s="60">
        <f>IFERROR(C36/C30,0)</f>
        <v>0.92963502885894367</v>
      </c>
      <c r="D40" s="61">
        <f>IFERROR(D37/D30,0)</f>
        <v>0.82633307381151688</v>
      </c>
      <c r="E40" s="60">
        <f t="shared" ref="E40:X40" si="23">IFERROR(E37/E30,0)</f>
        <v>0.58486689136821612</v>
      </c>
      <c r="F40" s="62">
        <f t="shared" si="23"/>
        <v>0</v>
      </c>
      <c r="G40" s="63">
        <f t="shared" si="23"/>
        <v>0</v>
      </c>
      <c r="H40" s="62">
        <f t="shared" si="23"/>
        <v>0</v>
      </c>
      <c r="I40" s="60">
        <f t="shared" si="23"/>
        <v>0</v>
      </c>
      <c r="J40" s="60">
        <f t="shared" si="23"/>
        <v>0</v>
      </c>
      <c r="K40" s="64">
        <f t="shared" si="23"/>
        <v>0.41327550186211282</v>
      </c>
      <c r="L40" s="60">
        <f t="shared" si="23"/>
        <v>2.0478182001410863</v>
      </c>
      <c r="M40" s="60">
        <f t="shared" si="23"/>
        <v>2.2714602603272924</v>
      </c>
      <c r="N40" s="60">
        <f t="shared" si="23"/>
        <v>0</v>
      </c>
      <c r="O40" s="62">
        <f t="shared" si="23"/>
        <v>0</v>
      </c>
      <c r="P40" s="63">
        <f t="shared" si="23"/>
        <v>0</v>
      </c>
      <c r="Q40" s="64">
        <f t="shared" si="23"/>
        <v>0</v>
      </c>
      <c r="R40" s="62">
        <f t="shared" si="23"/>
        <v>0</v>
      </c>
      <c r="S40" s="64">
        <f t="shared" si="23"/>
        <v>1.945029865382901</v>
      </c>
      <c r="T40" s="64">
        <f t="shared" si="23"/>
        <v>1.8377759810933516</v>
      </c>
      <c r="U40" s="62">
        <f t="shared" si="23"/>
        <v>0</v>
      </c>
      <c r="V40" s="62">
        <f t="shared" si="23"/>
        <v>0</v>
      </c>
      <c r="W40" s="62">
        <f t="shared" si="23"/>
        <v>0</v>
      </c>
      <c r="X40" s="62">
        <f t="shared" si="23"/>
        <v>0</v>
      </c>
      <c r="Y40" s="65"/>
      <c r="Z40" s="19"/>
      <c r="AA40" s="19"/>
      <c r="AB40" s="19"/>
    </row>
    <row r="41" spans="1:29" s="59" customFormat="1" ht="25.5" customHeight="1" x14ac:dyDescent="0.4">
      <c r="A41" s="173"/>
      <c r="B41" s="21" t="s">
        <v>41</v>
      </c>
      <c r="C41" s="66">
        <f>SUM(D41:X41)</f>
        <v>528407480</v>
      </c>
      <c r="D41" s="67">
        <f>D37-D31</f>
        <v>27407000</v>
      </c>
      <c r="E41" s="66">
        <f t="shared" ref="E41:X41" si="24">E37-E31</f>
        <v>31035000</v>
      </c>
      <c r="F41" s="66">
        <f t="shared" si="24"/>
        <v>18253000</v>
      </c>
      <c r="G41" s="68">
        <f t="shared" si="24"/>
        <v>30886700</v>
      </c>
      <c r="H41" s="69">
        <f t="shared" si="24"/>
        <v>74677000</v>
      </c>
      <c r="I41" s="66">
        <f t="shared" si="24"/>
        <v>-2049000</v>
      </c>
      <c r="J41" s="69">
        <f t="shared" si="24"/>
        <v>0</v>
      </c>
      <c r="K41" s="70">
        <f t="shared" si="24"/>
        <v>13405000</v>
      </c>
      <c r="L41" s="66">
        <f t="shared" si="24"/>
        <v>37969000</v>
      </c>
      <c r="M41" s="66">
        <f t="shared" si="24"/>
        <v>22323000</v>
      </c>
      <c r="N41" s="66">
        <f t="shared" si="24"/>
        <v>390000</v>
      </c>
      <c r="O41" s="69">
        <f t="shared" si="24"/>
        <v>1143000</v>
      </c>
      <c r="P41" s="68">
        <f t="shared" si="24"/>
        <v>0</v>
      </c>
      <c r="Q41" s="70">
        <f t="shared" si="24"/>
        <v>-9255000</v>
      </c>
      <c r="R41" s="69">
        <f t="shared" si="24"/>
        <v>11458000</v>
      </c>
      <c r="S41" s="70">
        <f t="shared" si="24"/>
        <v>80801000</v>
      </c>
      <c r="T41" s="70">
        <f t="shared" si="24"/>
        <v>122760000</v>
      </c>
      <c r="U41" s="69">
        <f t="shared" si="24"/>
        <v>55078000</v>
      </c>
      <c r="V41" s="69">
        <f t="shared" si="24"/>
        <v>0</v>
      </c>
      <c r="W41" s="69">
        <f t="shared" si="24"/>
        <v>329000</v>
      </c>
      <c r="X41" s="69">
        <f t="shared" si="24"/>
        <v>11796780</v>
      </c>
      <c r="Y41" s="27"/>
      <c r="Z41" s="58"/>
      <c r="AA41" s="58"/>
      <c r="AB41" s="58"/>
    </row>
    <row r="42" spans="1:29" s="20" customFormat="1" ht="25.5" customHeight="1" x14ac:dyDescent="0.4">
      <c r="A42" s="173"/>
      <c r="B42" s="21" t="s">
        <v>42</v>
      </c>
      <c r="C42" s="60">
        <f>IFERROR(C36/C31,0)</f>
        <v>4.4931556589460913</v>
      </c>
      <c r="D42" s="61">
        <f>IFERROR(D37/D31,0)</f>
        <v>34.220606060606059</v>
      </c>
      <c r="E42" s="60">
        <f t="shared" ref="E42:X42" si="25">IFERROR(E37/E31,0)</f>
        <v>22.948373408769449</v>
      </c>
      <c r="F42" s="60">
        <f t="shared" si="25"/>
        <v>0</v>
      </c>
      <c r="G42" s="63">
        <f t="shared" si="25"/>
        <v>0</v>
      </c>
      <c r="H42" s="62">
        <f t="shared" si="25"/>
        <v>0</v>
      </c>
      <c r="I42" s="60">
        <f t="shared" si="25"/>
        <v>0</v>
      </c>
      <c r="J42" s="62">
        <f t="shared" si="25"/>
        <v>0</v>
      </c>
      <c r="K42" s="64">
        <f t="shared" si="25"/>
        <v>3.796203587818106</v>
      </c>
      <c r="L42" s="60">
        <f t="shared" si="25"/>
        <v>15.20995508982036</v>
      </c>
      <c r="M42" s="60">
        <f t="shared" si="25"/>
        <v>5.6380635778100974</v>
      </c>
      <c r="N42" s="60">
        <f t="shared" si="25"/>
        <v>0</v>
      </c>
      <c r="O42" s="62">
        <f t="shared" si="25"/>
        <v>0</v>
      </c>
      <c r="P42" s="63">
        <f t="shared" si="25"/>
        <v>0</v>
      </c>
      <c r="Q42" s="64">
        <f t="shared" si="25"/>
        <v>0</v>
      </c>
      <c r="R42" s="62">
        <f t="shared" si="25"/>
        <v>0</v>
      </c>
      <c r="S42" s="64">
        <f t="shared" si="25"/>
        <v>3.8565721558368096</v>
      </c>
      <c r="T42" s="64">
        <f t="shared" si="25"/>
        <v>5.9127581238994713</v>
      </c>
      <c r="U42" s="62">
        <f t="shared" si="25"/>
        <v>0</v>
      </c>
      <c r="V42" s="62">
        <f t="shared" si="25"/>
        <v>0</v>
      </c>
      <c r="W42" s="62">
        <f t="shared" si="25"/>
        <v>0</v>
      </c>
      <c r="X42" s="62">
        <f t="shared" si="25"/>
        <v>0</v>
      </c>
      <c r="Y42" s="65"/>
      <c r="Z42" s="19"/>
      <c r="AA42" s="19"/>
      <c r="AB42" s="19"/>
    </row>
    <row r="43" spans="1:29" s="59" customFormat="1" ht="25.5" customHeight="1" x14ac:dyDescent="0.4">
      <c r="A43" s="173"/>
      <c r="B43" s="21" t="s">
        <v>43</v>
      </c>
      <c r="C43" s="66">
        <f>SUM(D43:X43)</f>
        <v>575307480</v>
      </c>
      <c r="D43" s="67">
        <f>D37-D32</f>
        <v>28232000</v>
      </c>
      <c r="E43" s="66">
        <f t="shared" ref="E43:X43" si="26">E37-E32</f>
        <v>32449000</v>
      </c>
      <c r="F43" s="66">
        <f t="shared" si="26"/>
        <v>18253000</v>
      </c>
      <c r="G43" s="71">
        <f t="shared" si="26"/>
        <v>30886700</v>
      </c>
      <c r="H43" s="69">
        <f t="shared" si="26"/>
        <v>74677000</v>
      </c>
      <c r="I43" s="66">
        <f t="shared" si="26"/>
        <v>0</v>
      </c>
      <c r="J43" s="69">
        <f t="shared" si="26"/>
        <v>0</v>
      </c>
      <c r="K43" s="25">
        <f t="shared" si="26"/>
        <v>18199000</v>
      </c>
      <c r="L43" s="66">
        <f t="shared" si="26"/>
        <v>34272000</v>
      </c>
      <c r="M43" s="66">
        <f t="shared" si="26"/>
        <v>27136000</v>
      </c>
      <c r="N43" s="66">
        <f t="shared" si="26"/>
        <v>390000</v>
      </c>
      <c r="O43" s="69">
        <f t="shared" si="26"/>
        <v>1143000</v>
      </c>
      <c r="P43" s="72">
        <f t="shared" si="26"/>
        <v>0</v>
      </c>
      <c r="Q43" s="70">
        <f t="shared" si="26"/>
        <v>0</v>
      </c>
      <c r="R43" s="69">
        <f t="shared" si="26"/>
        <v>11458000</v>
      </c>
      <c r="S43" s="70">
        <f t="shared" si="26"/>
        <v>84665000</v>
      </c>
      <c r="T43" s="70">
        <f t="shared" si="26"/>
        <v>146343000</v>
      </c>
      <c r="U43" s="69">
        <f t="shared" si="26"/>
        <v>55078000</v>
      </c>
      <c r="V43" s="69">
        <f t="shared" si="26"/>
        <v>0</v>
      </c>
      <c r="W43" s="69">
        <f t="shared" si="26"/>
        <v>329000</v>
      </c>
      <c r="X43" s="69">
        <f t="shared" si="26"/>
        <v>11796780</v>
      </c>
      <c r="Y43" s="27"/>
      <c r="Z43" s="58"/>
      <c r="AA43" s="58"/>
      <c r="AB43" s="58"/>
    </row>
    <row r="44" spans="1:29" s="20" customFormat="1" ht="25.5" customHeight="1" x14ac:dyDescent="0.4">
      <c r="A44" s="173"/>
      <c r="B44" s="21" t="s">
        <v>44</v>
      </c>
      <c r="C44" s="60">
        <f>IFERROR(C36/C32,0)</f>
        <v>11.038347620822462</v>
      </c>
      <c r="D44" s="61">
        <f>IFERROR(D37/D32,0)</f>
        <v>0</v>
      </c>
      <c r="E44" s="60">
        <f t="shared" ref="E44:X44" si="27">IFERROR(E37/E32,0)</f>
        <v>0</v>
      </c>
      <c r="F44" s="60">
        <f t="shared" si="27"/>
        <v>0</v>
      </c>
      <c r="G44" s="73">
        <f t="shared" si="27"/>
        <v>0</v>
      </c>
      <c r="H44" s="62">
        <f t="shared" si="27"/>
        <v>0</v>
      </c>
      <c r="I44" s="60">
        <f t="shared" si="27"/>
        <v>0</v>
      </c>
      <c r="J44" s="62">
        <f t="shared" si="27"/>
        <v>0</v>
      </c>
      <c r="K44" s="62">
        <f t="shared" si="27"/>
        <v>0</v>
      </c>
      <c r="L44" s="60">
        <f t="shared" si="27"/>
        <v>6.3810645313235987</v>
      </c>
      <c r="M44" s="60">
        <f t="shared" si="27"/>
        <v>0</v>
      </c>
      <c r="N44" s="60">
        <f t="shared" si="27"/>
        <v>0</v>
      </c>
      <c r="O44" s="62">
        <f t="shared" si="27"/>
        <v>0</v>
      </c>
      <c r="P44" s="74">
        <f t="shared" si="27"/>
        <v>0</v>
      </c>
      <c r="Q44" s="64">
        <f t="shared" si="27"/>
        <v>0</v>
      </c>
      <c r="R44" s="62">
        <f t="shared" si="27"/>
        <v>0</v>
      </c>
      <c r="S44" s="64">
        <f t="shared" si="27"/>
        <v>4.4667512898206532</v>
      </c>
      <c r="T44" s="64">
        <f t="shared" si="27"/>
        <v>105.15871886120996</v>
      </c>
      <c r="U44" s="62">
        <f t="shared" si="27"/>
        <v>0</v>
      </c>
      <c r="V44" s="62">
        <f t="shared" si="27"/>
        <v>0</v>
      </c>
      <c r="W44" s="62">
        <f t="shared" si="27"/>
        <v>0</v>
      </c>
      <c r="X44" s="62">
        <f t="shared" si="27"/>
        <v>0</v>
      </c>
      <c r="Y44" s="65"/>
      <c r="Z44" s="19"/>
      <c r="AA44" s="19"/>
      <c r="AB44" s="19"/>
    </row>
    <row r="45" spans="1:29" s="59" customFormat="1" ht="25.5" customHeight="1" x14ac:dyDescent="0.4">
      <c r="A45" s="173"/>
      <c r="B45" s="21" t="s">
        <v>45</v>
      </c>
      <c r="C45" s="66">
        <f>SUM(D45:X45)</f>
        <v>428842548</v>
      </c>
      <c r="D45" s="67">
        <f>D37-D33</f>
        <v>21299000</v>
      </c>
      <c r="E45" s="66">
        <f t="shared" ref="E45:X45" si="28">E37-E33</f>
        <v>19886000</v>
      </c>
      <c r="F45" s="66">
        <f t="shared" si="28"/>
        <v>18253000</v>
      </c>
      <c r="G45" s="71">
        <f t="shared" si="28"/>
        <v>21055700</v>
      </c>
      <c r="H45" s="69">
        <f t="shared" si="28"/>
        <v>74677000</v>
      </c>
      <c r="I45" s="66">
        <f t="shared" si="28"/>
        <v>-155000</v>
      </c>
      <c r="J45" s="69">
        <f t="shared" si="28"/>
        <v>0</v>
      </c>
      <c r="K45" s="25">
        <f t="shared" si="28"/>
        <v>18199000</v>
      </c>
      <c r="L45" s="66">
        <f t="shared" si="28"/>
        <v>28834000</v>
      </c>
      <c r="M45" s="66">
        <f t="shared" si="28"/>
        <v>20191500</v>
      </c>
      <c r="N45" s="66">
        <f t="shared" si="28"/>
        <v>-126000</v>
      </c>
      <c r="O45" s="69">
        <f t="shared" si="28"/>
        <v>1143000</v>
      </c>
      <c r="P45" s="72">
        <f t="shared" si="28"/>
        <v>0</v>
      </c>
      <c r="Q45" s="70">
        <f t="shared" si="28"/>
        <v>-11432000</v>
      </c>
      <c r="R45" s="69">
        <f t="shared" si="28"/>
        <v>11458000</v>
      </c>
      <c r="S45" s="70">
        <f t="shared" si="28"/>
        <v>45564000</v>
      </c>
      <c r="T45" s="70">
        <f t="shared" si="28"/>
        <v>92791568</v>
      </c>
      <c r="U45" s="69">
        <f t="shared" si="28"/>
        <v>55078000</v>
      </c>
      <c r="V45" s="69">
        <f t="shared" si="28"/>
        <v>0</v>
      </c>
      <c r="W45" s="69">
        <f t="shared" si="28"/>
        <v>329000</v>
      </c>
      <c r="X45" s="69">
        <f t="shared" si="28"/>
        <v>11796780</v>
      </c>
      <c r="Y45" s="27"/>
      <c r="Z45" s="58"/>
      <c r="AA45" s="58"/>
      <c r="AB45" s="58"/>
    </row>
    <row r="46" spans="1:29" s="20" customFormat="1" ht="25.5" customHeight="1" x14ac:dyDescent="0.4">
      <c r="A46" s="173"/>
      <c r="B46" s="21" t="s">
        <v>46</v>
      </c>
      <c r="C46" s="60">
        <f>IFERROR(C36/C33,0)</f>
        <v>1.9891905634971163</v>
      </c>
      <c r="D46" s="61">
        <f>IFERROR(D37/D33,0)</f>
        <v>4.0721188518678781</v>
      </c>
      <c r="E46" s="60">
        <f t="shared" ref="E46:X46" si="29">IFERROR(E37/E33,0)</f>
        <v>2.582902173047839</v>
      </c>
      <c r="F46" s="60">
        <f t="shared" si="29"/>
        <v>0</v>
      </c>
      <c r="G46" s="73">
        <f t="shared" si="29"/>
        <v>3.1417658427423456</v>
      </c>
      <c r="H46" s="62">
        <f t="shared" si="29"/>
        <v>0</v>
      </c>
      <c r="I46" s="60">
        <f t="shared" si="29"/>
        <v>0</v>
      </c>
      <c r="J46" s="62">
        <f t="shared" si="29"/>
        <v>0</v>
      </c>
      <c r="K46" s="62">
        <f t="shared" si="29"/>
        <v>0</v>
      </c>
      <c r="L46" s="60">
        <f t="shared" si="29"/>
        <v>3.4421106123486069</v>
      </c>
      <c r="M46" s="60">
        <f t="shared" si="29"/>
        <v>3.9075527395780836</v>
      </c>
      <c r="N46" s="60">
        <f t="shared" si="29"/>
        <v>0.7558139534883721</v>
      </c>
      <c r="O46" s="62">
        <f t="shared" si="29"/>
        <v>0</v>
      </c>
      <c r="P46" s="74">
        <f t="shared" si="29"/>
        <v>0</v>
      </c>
      <c r="Q46" s="64">
        <f t="shared" si="29"/>
        <v>0</v>
      </c>
      <c r="R46" s="62">
        <f t="shared" si="29"/>
        <v>0</v>
      </c>
      <c r="S46" s="64">
        <f t="shared" si="29"/>
        <v>1.7172835036128646</v>
      </c>
      <c r="T46" s="64">
        <f t="shared" si="29"/>
        <v>2.6884569216575049</v>
      </c>
      <c r="U46" s="62">
        <f t="shared" si="29"/>
        <v>0</v>
      </c>
      <c r="V46" s="62">
        <f t="shared" si="29"/>
        <v>0</v>
      </c>
      <c r="W46" s="62">
        <f t="shared" si="29"/>
        <v>0</v>
      </c>
      <c r="X46" s="62">
        <f t="shared" si="29"/>
        <v>0</v>
      </c>
      <c r="Y46" s="65"/>
      <c r="Z46" s="19"/>
      <c r="AA46" s="19"/>
      <c r="AB46" s="19"/>
    </row>
    <row r="47" spans="1:29" s="59" customFormat="1" ht="25.5" customHeight="1" x14ac:dyDescent="0.4">
      <c r="A47" s="173"/>
      <c r="B47" s="21" t="s">
        <v>47</v>
      </c>
      <c r="C47" s="66">
        <f>SUM(D47:X47)</f>
        <v>190875580</v>
      </c>
      <c r="D47" s="67">
        <f>D37-D34</f>
        <v>-1378000</v>
      </c>
      <c r="E47" s="66">
        <f t="shared" ref="E47:X47" si="30">E37-E34</f>
        <v>-10397000</v>
      </c>
      <c r="F47" s="66">
        <f t="shared" si="30"/>
        <v>18253000</v>
      </c>
      <c r="G47" s="71">
        <f t="shared" si="30"/>
        <v>-14261200</v>
      </c>
      <c r="H47" s="69">
        <f t="shared" si="30"/>
        <v>74677000</v>
      </c>
      <c r="I47" s="69">
        <f t="shared" si="30"/>
        <v>0</v>
      </c>
      <c r="J47" s="69">
        <f t="shared" si="30"/>
        <v>0</v>
      </c>
      <c r="K47" s="25">
        <f t="shared" si="30"/>
        <v>18199000</v>
      </c>
      <c r="L47" s="66">
        <f t="shared" si="30"/>
        <v>21391000</v>
      </c>
      <c r="M47" s="66">
        <f t="shared" si="30"/>
        <v>14569000</v>
      </c>
      <c r="N47" s="66">
        <f t="shared" si="30"/>
        <v>-177000</v>
      </c>
      <c r="O47" s="69">
        <f t="shared" si="30"/>
        <v>1143000</v>
      </c>
      <c r="P47" s="72">
        <f t="shared" si="30"/>
        <v>0</v>
      </c>
      <c r="Q47" s="66">
        <f t="shared" si="30"/>
        <v>-30359000</v>
      </c>
      <c r="R47" s="69">
        <f t="shared" si="30"/>
        <v>11458000</v>
      </c>
      <c r="S47" s="70">
        <f t="shared" si="30"/>
        <v>24129000</v>
      </c>
      <c r="T47" s="66">
        <f t="shared" si="30"/>
        <v>-3575000</v>
      </c>
      <c r="U47" s="69">
        <f t="shared" si="30"/>
        <v>55078000</v>
      </c>
      <c r="V47" s="69">
        <f t="shared" si="30"/>
        <v>0</v>
      </c>
      <c r="W47" s="69">
        <f t="shared" si="30"/>
        <v>329000</v>
      </c>
      <c r="X47" s="69">
        <f t="shared" si="30"/>
        <v>11796780</v>
      </c>
      <c r="Y47" s="27"/>
      <c r="Z47" s="58"/>
      <c r="AA47" s="58"/>
      <c r="AB47" s="58"/>
    </row>
    <row r="48" spans="1:29" s="20" customFormat="1" ht="25.5" customHeight="1" x14ac:dyDescent="0.4">
      <c r="A48" s="173"/>
      <c r="B48" s="21" t="s">
        <v>48</v>
      </c>
      <c r="C48" s="60">
        <f>IFERROR(C36/C34,0)</f>
        <v>0.85301690069244041</v>
      </c>
      <c r="D48" s="61">
        <f>IFERROR(D37/D34,0)</f>
        <v>0.95346166835528534</v>
      </c>
      <c r="E48" s="60">
        <f t="shared" ref="E48:X48" si="31">IFERROR(E37/E34,0)</f>
        <v>0.7573402417962003</v>
      </c>
      <c r="F48" s="60">
        <f t="shared" si="31"/>
        <v>0</v>
      </c>
      <c r="G48" s="73">
        <f t="shared" si="31"/>
        <v>0.68412262807350954</v>
      </c>
      <c r="H48" s="62">
        <f t="shared" si="31"/>
        <v>0</v>
      </c>
      <c r="I48" s="62">
        <f t="shared" si="31"/>
        <v>0</v>
      </c>
      <c r="J48" s="62">
        <f t="shared" si="31"/>
        <v>0</v>
      </c>
      <c r="K48" s="62">
        <f t="shared" si="31"/>
        <v>0</v>
      </c>
      <c r="L48" s="60">
        <f t="shared" si="31"/>
        <v>2.1112207792207793</v>
      </c>
      <c r="M48" s="60">
        <f t="shared" si="31"/>
        <v>2.1593061192010823</v>
      </c>
      <c r="N48" s="60">
        <f t="shared" si="31"/>
        <v>0.68783068783068779</v>
      </c>
      <c r="O48" s="62">
        <f t="shared" si="31"/>
        <v>0</v>
      </c>
      <c r="P48" s="74">
        <f t="shared" si="31"/>
        <v>0</v>
      </c>
      <c r="Q48" s="60">
        <f t="shared" si="31"/>
        <v>0</v>
      </c>
      <c r="R48" s="62">
        <f t="shared" si="31"/>
        <v>0</v>
      </c>
      <c r="S48" s="64">
        <f t="shared" si="31"/>
        <v>1.2840109230443277</v>
      </c>
      <c r="T48" s="60">
        <f t="shared" si="31"/>
        <v>0.97637503882423693</v>
      </c>
      <c r="U48" s="62">
        <f t="shared" si="31"/>
        <v>0</v>
      </c>
      <c r="V48" s="62">
        <f t="shared" si="31"/>
        <v>0</v>
      </c>
      <c r="W48" s="62">
        <f t="shared" si="31"/>
        <v>0</v>
      </c>
      <c r="X48" s="62">
        <f t="shared" si="31"/>
        <v>0</v>
      </c>
      <c r="Y48" s="65"/>
      <c r="Z48" s="19"/>
      <c r="AA48" s="19"/>
      <c r="AB48" s="19"/>
    </row>
    <row r="49" spans="1:29" s="20" customFormat="1" ht="25.5" customHeight="1" x14ac:dyDescent="0.4">
      <c r="A49" s="173"/>
      <c r="B49" s="21" t="s">
        <v>49</v>
      </c>
      <c r="C49" s="66">
        <f>SUM(D49:X49)</f>
        <v>213034830</v>
      </c>
      <c r="D49" s="67">
        <f>D37-D35</f>
        <v>1023000</v>
      </c>
      <c r="E49" s="66">
        <f t="shared" ref="E49:X49" si="32">E37-E35</f>
        <v>-1767000</v>
      </c>
      <c r="F49" s="66">
        <f t="shared" si="32"/>
        <v>18253000</v>
      </c>
      <c r="G49" s="71">
        <f t="shared" si="32"/>
        <v>1944300</v>
      </c>
      <c r="H49" s="66">
        <f t="shared" si="32"/>
        <v>24405400</v>
      </c>
      <c r="I49" s="69">
        <f t="shared" si="32"/>
        <v>0</v>
      </c>
      <c r="J49" s="69">
        <f t="shared" si="32"/>
        <v>0</v>
      </c>
      <c r="K49" s="25">
        <f t="shared" si="32"/>
        <v>18199000</v>
      </c>
      <c r="L49" s="66">
        <f t="shared" si="32"/>
        <v>20738000</v>
      </c>
      <c r="M49" s="66">
        <f t="shared" si="32"/>
        <v>24523000</v>
      </c>
      <c r="N49" s="66">
        <f t="shared" si="32"/>
        <v>-479000</v>
      </c>
      <c r="O49" s="69">
        <f t="shared" si="32"/>
        <v>1143000</v>
      </c>
      <c r="P49" s="71">
        <f t="shared" si="32"/>
        <v>0</v>
      </c>
      <c r="Q49" s="69">
        <f t="shared" si="32"/>
        <v>-3351900</v>
      </c>
      <c r="R49" s="69">
        <f t="shared" si="32"/>
        <v>11458000</v>
      </c>
      <c r="S49" s="70">
        <f t="shared" si="32"/>
        <v>16141000</v>
      </c>
      <c r="T49" s="66">
        <f t="shared" si="32"/>
        <v>23585000</v>
      </c>
      <c r="U49" s="69">
        <f t="shared" si="32"/>
        <v>55078000</v>
      </c>
      <c r="V49" s="69">
        <f t="shared" si="32"/>
        <v>0</v>
      </c>
      <c r="W49" s="69">
        <f t="shared" si="32"/>
        <v>329000</v>
      </c>
      <c r="X49" s="66">
        <f t="shared" si="32"/>
        <v>1813030</v>
      </c>
      <c r="Y49" s="27"/>
      <c r="Z49" s="19"/>
      <c r="AA49" s="19"/>
      <c r="AB49" s="19"/>
    </row>
    <row r="50" spans="1:29" s="20" customFormat="1" ht="25.5" customHeight="1" x14ac:dyDescent="0.4">
      <c r="A50" s="173"/>
      <c r="B50" s="21" t="s">
        <v>50</v>
      </c>
      <c r="C50" s="60">
        <f>IFERROR(C36/C35,0)</f>
        <v>0.90093506797054723</v>
      </c>
      <c r="D50" s="61">
        <f>IFERROR(D37/D35,0)</f>
        <v>1.0375978536513653</v>
      </c>
      <c r="E50" s="60">
        <f t="shared" ref="E50:X50" si="33">IFERROR(E37/E35,0)</f>
        <v>0.94835749357025956</v>
      </c>
      <c r="F50" s="60">
        <f t="shared" si="33"/>
        <v>0</v>
      </c>
      <c r="G50" s="73">
        <f t="shared" si="33"/>
        <v>1.0671782575045607</v>
      </c>
      <c r="H50" s="60">
        <f t="shared" si="33"/>
        <v>1.4854709219519571</v>
      </c>
      <c r="I50" s="62">
        <f t="shared" si="33"/>
        <v>0</v>
      </c>
      <c r="J50" s="62">
        <f t="shared" si="33"/>
        <v>0</v>
      </c>
      <c r="K50" s="62">
        <f t="shared" si="33"/>
        <v>0</v>
      </c>
      <c r="L50" s="60">
        <f t="shared" si="33"/>
        <v>2.0419534743506005</v>
      </c>
      <c r="M50" s="60">
        <f t="shared" si="33"/>
        <v>10.384998086490624</v>
      </c>
      <c r="N50" s="60">
        <f t="shared" si="33"/>
        <v>0.4487917146144994</v>
      </c>
      <c r="O50" s="62">
        <f t="shared" si="33"/>
        <v>0</v>
      </c>
      <c r="P50" s="73">
        <f t="shared" si="33"/>
        <v>0</v>
      </c>
      <c r="Q50" s="62">
        <f t="shared" si="33"/>
        <v>0</v>
      </c>
      <c r="R50" s="62">
        <f t="shared" si="33"/>
        <v>0</v>
      </c>
      <c r="S50" s="64">
        <f t="shared" si="33"/>
        <v>1.1736599746089127</v>
      </c>
      <c r="T50" s="60">
        <f t="shared" si="33"/>
        <v>1.1899519180432174</v>
      </c>
      <c r="U50" s="62">
        <f t="shared" si="33"/>
        <v>0</v>
      </c>
      <c r="V50" s="62">
        <f t="shared" si="33"/>
        <v>0</v>
      </c>
      <c r="W50" s="62">
        <f t="shared" si="33"/>
        <v>0</v>
      </c>
      <c r="X50" s="60">
        <f t="shared" si="33"/>
        <v>1.1815980969074746</v>
      </c>
      <c r="Y50" s="65"/>
      <c r="Z50" s="19"/>
      <c r="AA50" s="19"/>
      <c r="AB50" s="19"/>
    </row>
    <row r="51" spans="1:29" s="20" customFormat="1" ht="25.5" customHeight="1" x14ac:dyDescent="0.4">
      <c r="A51" s="173"/>
      <c r="B51" s="21" t="s">
        <v>51</v>
      </c>
      <c r="C51" s="66">
        <f>SUM(D51:X51)</f>
        <v>252112840</v>
      </c>
      <c r="D51" s="67">
        <f>D37-D36</f>
        <v>4038000</v>
      </c>
      <c r="E51" s="66">
        <f t="shared" ref="E51:X51" si="34">E37-E36</f>
        <v>4327000</v>
      </c>
      <c r="F51" s="66">
        <f t="shared" si="34"/>
        <v>-1382000</v>
      </c>
      <c r="G51" s="71">
        <f t="shared" si="34"/>
        <v>3386700</v>
      </c>
      <c r="H51" s="66">
        <f t="shared" si="34"/>
        <v>12468000</v>
      </c>
      <c r="I51" s="69">
        <f t="shared" si="34"/>
        <v>0</v>
      </c>
      <c r="J51" s="69">
        <f t="shared" si="34"/>
        <v>0</v>
      </c>
      <c r="K51" s="22">
        <f t="shared" si="34"/>
        <v>18199000</v>
      </c>
      <c r="L51" s="66">
        <f t="shared" si="34"/>
        <v>24979000</v>
      </c>
      <c r="M51" s="66">
        <f t="shared" si="34"/>
        <v>20713500</v>
      </c>
      <c r="N51" s="66">
        <f t="shared" si="34"/>
        <v>-67000</v>
      </c>
      <c r="O51" s="69">
        <f t="shared" si="34"/>
        <v>667000</v>
      </c>
      <c r="P51" s="71">
        <f t="shared" si="34"/>
        <v>0</v>
      </c>
      <c r="Q51" s="69">
        <f t="shared" si="34"/>
        <v>0</v>
      </c>
      <c r="R51" s="66">
        <f t="shared" si="34"/>
        <v>11458000</v>
      </c>
      <c r="S51" s="66">
        <f t="shared" si="34"/>
        <v>26979000</v>
      </c>
      <c r="T51" s="66">
        <f t="shared" si="34"/>
        <v>72221000</v>
      </c>
      <c r="U51" s="66">
        <f t="shared" si="34"/>
        <v>55078000</v>
      </c>
      <c r="V51" s="69">
        <f t="shared" si="34"/>
        <v>0</v>
      </c>
      <c r="W51" s="66">
        <f t="shared" si="34"/>
        <v>329000</v>
      </c>
      <c r="X51" s="66">
        <f t="shared" si="34"/>
        <v>-1281360</v>
      </c>
      <c r="Y51" s="27"/>
      <c r="Z51" s="19"/>
      <c r="AA51" s="19"/>
      <c r="AB51" s="19"/>
    </row>
    <row r="52" spans="1:29" s="20" customFormat="1" ht="25.5" customHeight="1" x14ac:dyDescent="0.4">
      <c r="A52" s="173"/>
      <c r="B52" s="21" t="s">
        <v>52</v>
      </c>
      <c r="C52" s="60">
        <f>IFERROR(C38/C37,0)</f>
        <v>0.94501516271149588</v>
      </c>
      <c r="D52" s="61">
        <f>IFERROR(D37/D36,0)</f>
        <v>1.1669008845168223</v>
      </c>
      <c r="E52" s="60">
        <f t="shared" ref="E52:X52" si="35">IFERROR(E37/E36,0)</f>
        <v>1.1538653011876823</v>
      </c>
      <c r="F52" s="60">
        <f t="shared" si="35"/>
        <v>0.92961548255665905</v>
      </c>
      <c r="G52" s="73">
        <f t="shared" si="35"/>
        <v>1.1231527272727273</v>
      </c>
      <c r="H52" s="60">
        <f t="shared" si="35"/>
        <v>1.200421160925268</v>
      </c>
      <c r="I52" s="62">
        <f t="shared" si="35"/>
        <v>0</v>
      </c>
      <c r="J52" s="62">
        <f t="shared" si="35"/>
        <v>0</v>
      </c>
      <c r="K52" s="60">
        <f t="shared" si="35"/>
        <v>0</v>
      </c>
      <c r="L52" s="60">
        <f t="shared" si="35"/>
        <v>2.5948793257566085</v>
      </c>
      <c r="M52" s="60">
        <f t="shared" si="35"/>
        <v>4.2251459711950172</v>
      </c>
      <c r="N52" s="60">
        <f t="shared" si="35"/>
        <v>0.85339168490153172</v>
      </c>
      <c r="O52" s="62">
        <f t="shared" si="35"/>
        <v>2.4012605042016806</v>
      </c>
      <c r="P52" s="73">
        <f t="shared" si="35"/>
        <v>0</v>
      </c>
      <c r="Q52" s="62">
        <f t="shared" si="35"/>
        <v>0</v>
      </c>
      <c r="R52" s="60">
        <f t="shared" si="35"/>
        <v>0</v>
      </c>
      <c r="S52" s="60">
        <f t="shared" si="35"/>
        <v>1.3285794319676523</v>
      </c>
      <c r="T52" s="60">
        <f t="shared" si="35"/>
        <v>1.956227574244972</v>
      </c>
      <c r="U52" s="60">
        <f t="shared" si="35"/>
        <v>0</v>
      </c>
      <c r="V52" s="62">
        <f t="shared" si="35"/>
        <v>0</v>
      </c>
      <c r="W52" s="60">
        <f t="shared" si="35"/>
        <v>0</v>
      </c>
      <c r="X52" s="60">
        <f t="shared" si="35"/>
        <v>0.9020227647050727</v>
      </c>
      <c r="Y52" s="65"/>
      <c r="Z52" s="19"/>
      <c r="AA52" s="19"/>
      <c r="AB52" s="19"/>
    </row>
    <row r="53" spans="1:29" s="82" customFormat="1" ht="25.5" customHeight="1" x14ac:dyDescent="0.4">
      <c r="A53" s="173"/>
      <c r="B53" s="75" t="s">
        <v>53</v>
      </c>
      <c r="C53" s="76">
        <f>SUM(D53:X53)</f>
        <v>33403480</v>
      </c>
      <c r="D53" s="77">
        <f>D37-D38</f>
        <v>3532000</v>
      </c>
      <c r="E53" s="76">
        <f t="shared" ref="E53:X53" si="36">E37-E38</f>
        <v>3749000</v>
      </c>
      <c r="F53" s="76">
        <f t="shared" si="36"/>
        <v>-1847000</v>
      </c>
      <c r="G53" s="78">
        <f t="shared" si="36"/>
        <v>2286700</v>
      </c>
      <c r="H53" s="76">
        <f t="shared" si="36"/>
        <v>9277000</v>
      </c>
      <c r="I53" s="79">
        <f t="shared" si="36"/>
        <v>0</v>
      </c>
      <c r="J53" s="79">
        <f t="shared" si="36"/>
        <v>0</v>
      </c>
      <c r="K53" s="76">
        <f t="shared" si="36"/>
        <v>-12701000</v>
      </c>
      <c r="L53" s="76">
        <f t="shared" si="36"/>
        <v>1441000</v>
      </c>
      <c r="M53" s="76">
        <f t="shared" si="36"/>
        <v>11036000</v>
      </c>
      <c r="N53" s="76">
        <f t="shared" si="36"/>
        <v>-110000</v>
      </c>
      <c r="O53" s="76">
        <f t="shared" si="36"/>
        <v>643000</v>
      </c>
      <c r="P53" s="78">
        <f t="shared" si="36"/>
        <v>0</v>
      </c>
      <c r="Q53" s="79">
        <f t="shared" si="36"/>
        <v>0</v>
      </c>
      <c r="R53" s="76">
        <f t="shared" si="36"/>
        <v>-3542000</v>
      </c>
      <c r="S53" s="76">
        <f t="shared" si="36"/>
        <v>2287000</v>
      </c>
      <c r="T53" s="76">
        <f t="shared" si="36"/>
        <v>34448000</v>
      </c>
      <c r="U53" s="76">
        <f t="shared" si="36"/>
        <v>-14922000</v>
      </c>
      <c r="V53" s="79">
        <f t="shared" si="36"/>
        <v>0</v>
      </c>
      <c r="W53" s="76">
        <f t="shared" si="36"/>
        <v>-171000</v>
      </c>
      <c r="X53" s="76">
        <f t="shared" si="36"/>
        <v>-2003220</v>
      </c>
      <c r="Y53" s="80"/>
      <c r="Z53" s="81"/>
      <c r="AA53" s="81"/>
      <c r="AB53" s="81"/>
    </row>
    <row r="54" spans="1:29" s="44" customFormat="1" ht="25.5" customHeight="1" thickBot="1" x14ac:dyDescent="0.45">
      <c r="A54" s="173"/>
      <c r="B54" s="83" t="s">
        <v>54</v>
      </c>
      <c r="C54" s="84">
        <f>IFERROR(C36/C38,0)</f>
        <v>0.61903960982407247</v>
      </c>
      <c r="D54" s="85">
        <f>IFERROR(D37/D38,0)</f>
        <v>1.1429959514170041</v>
      </c>
      <c r="E54" s="84">
        <f t="shared" ref="E54:X54" si="37">IFERROR(E37/E38,0)</f>
        <v>1.1306271777003485</v>
      </c>
      <c r="F54" s="84">
        <f t="shared" si="37"/>
        <v>0.90810945273631838</v>
      </c>
      <c r="G54" s="86">
        <f t="shared" si="37"/>
        <v>1.0799545454545454</v>
      </c>
      <c r="H54" s="84">
        <f t="shared" si="37"/>
        <v>1.1418501529051988</v>
      </c>
      <c r="I54" s="87">
        <f t="shared" si="37"/>
        <v>0</v>
      </c>
      <c r="J54" s="87">
        <f t="shared" si="37"/>
        <v>0</v>
      </c>
      <c r="K54" s="84">
        <f t="shared" si="37"/>
        <v>0.58896440129449834</v>
      </c>
      <c r="L54" s="84">
        <f t="shared" si="37"/>
        <v>1.0367602040816326</v>
      </c>
      <c r="M54" s="84">
        <f t="shared" si="37"/>
        <v>1.6854658385093169</v>
      </c>
      <c r="N54" s="84">
        <f t="shared" si="37"/>
        <v>0.78</v>
      </c>
      <c r="O54" s="84">
        <f t="shared" si="37"/>
        <v>2.286</v>
      </c>
      <c r="P54" s="86">
        <f t="shared" si="37"/>
        <v>0</v>
      </c>
      <c r="Q54" s="87">
        <f t="shared" si="37"/>
        <v>0</v>
      </c>
      <c r="R54" s="84">
        <f t="shared" si="37"/>
        <v>0.76386666666666669</v>
      </c>
      <c r="S54" s="84">
        <f t="shared" si="37"/>
        <v>1.0214138576779026</v>
      </c>
      <c r="T54" s="84">
        <f t="shared" si="37"/>
        <v>1.3040423654015887</v>
      </c>
      <c r="U54" s="84">
        <f t="shared" si="37"/>
        <v>0.78682857142857143</v>
      </c>
      <c r="V54" s="87">
        <f t="shared" si="37"/>
        <v>0</v>
      </c>
      <c r="W54" s="84">
        <f t="shared" si="37"/>
        <v>0.65800000000000003</v>
      </c>
      <c r="X54" s="84">
        <f t="shared" si="37"/>
        <v>0.85483913043478266</v>
      </c>
      <c r="Y54" s="88"/>
      <c r="Z54" s="43"/>
      <c r="AA54" s="43"/>
      <c r="AB54" s="43"/>
    </row>
    <row r="55" spans="1:29" s="20" customFormat="1" ht="25.5" customHeight="1" thickTop="1" x14ac:dyDescent="0.4">
      <c r="A55" s="172" t="s">
        <v>58</v>
      </c>
      <c r="B55" s="89" t="s">
        <v>29</v>
      </c>
      <c r="C55" s="90">
        <f t="shared" ref="C55:C63" si="38">SUM(D55:X55)</f>
        <v>175581400</v>
      </c>
      <c r="D55" s="91">
        <v>8738000</v>
      </c>
      <c r="E55" s="90">
        <v>28535000</v>
      </c>
      <c r="F55" s="92">
        <v>0</v>
      </c>
      <c r="G55" s="93">
        <v>0</v>
      </c>
      <c r="H55" s="92">
        <v>0</v>
      </c>
      <c r="I55" s="90">
        <v>26156400</v>
      </c>
      <c r="J55" s="92">
        <v>0</v>
      </c>
      <c r="K55" s="94">
        <v>27902000</v>
      </c>
      <c r="L55" s="90">
        <v>10184000</v>
      </c>
      <c r="M55" s="90">
        <v>3326000</v>
      </c>
      <c r="N55" s="90">
        <v>0</v>
      </c>
      <c r="O55" s="92"/>
      <c r="P55" s="93">
        <v>0</v>
      </c>
      <c r="Q55" s="94">
        <v>29369000</v>
      </c>
      <c r="R55" s="92"/>
      <c r="S55" s="94">
        <v>26798000</v>
      </c>
      <c r="T55" s="94">
        <v>14573000</v>
      </c>
      <c r="U55" s="92"/>
      <c r="V55" s="92"/>
      <c r="W55" s="92"/>
      <c r="X55" s="92"/>
      <c r="Y55" s="95"/>
      <c r="Z55" s="19"/>
      <c r="AA55" s="19"/>
      <c r="AB55" s="19"/>
    </row>
    <row r="56" spans="1:29" s="20" customFormat="1" ht="25.5" customHeight="1" x14ac:dyDescent="0.4">
      <c r="A56" s="173"/>
      <c r="B56" s="21" t="s">
        <v>30</v>
      </c>
      <c r="C56" s="22">
        <f t="shared" si="38"/>
        <v>7596500</v>
      </c>
      <c r="D56" s="23">
        <v>0</v>
      </c>
      <c r="E56" s="22">
        <v>0</v>
      </c>
      <c r="F56" s="22">
        <v>0</v>
      </c>
      <c r="G56" s="24">
        <v>0</v>
      </c>
      <c r="H56" s="25">
        <v>0</v>
      </c>
      <c r="I56" s="22">
        <v>375000</v>
      </c>
      <c r="J56" s="25">
        <v>0</v>
      </c>
      <c r="K56" s="25">
        <v>0</v>
      </c>
      <c r="L56" s="22">
        <v>1542000</v>
      </c>
      <c r="M56" s="22">
        <v>2705500</v>
      </c>
      <c r="N56" s="22">
        <v>0</v>
      </c>
      <c r="O56" s="25"/>
      <c r="P56" s="24">
        <v>0</v>
      </c>
      <c r="Q56" s="26">
        <v>36000</v>
      </c>
      <c r="R56" s="25"/>
      <c r="S56" s="26">
        <v>2812000</v>
      </c>
      <c r="T56" s="26">
        <v>126000</v>
      </c>
      <c r="U56" s="25"/>
      <c r="V56" s="25"/>
      <c r="W56" s="25"/>
      <c r="X56" s="25"/>
      <c r="Y56" s="27"/>
    </row>
    <row r="57" spans="1:29" s="20" customFormat="1" ht="25.5" customHeight="1" x14ac:dyDescent="0.4">
      <c r="A57" s="173"/>
      <c r="B57" s="21" t="s">
        <v>31</v>
      </c>
      <c r="C57" s="22">
        <f t="shared" si="38"/>
        <v>25332900</v>
      </c>
      <c r="D57" s="23">
        <v>0</v>
      </c>
      <c r="E57" s="22">
        <v>0</v>
      </c>
      <c r="F57" s="22">
        <v>0</v>
      </c>
      <c r="G57" s="28">
        <v>0</v>
      </c>
      <c r="H57" s="25">
        <v>0</v>
      </c>
      <c r="I57" s="22">
        <v>3135900</v>
      </c>
      <c r="J57" s="25">
        <v>0</v>
      </c>
      <c r="K57" s="25">
        <v>0</v>
      </c>
      <c r="L57" s="22">
        <v>4200000</v>
      </c>
      <c r="M57" s="22">
        <v>1652000</v>
      </c>
      <c r="N57" s="22">
        <v>0</v>
      </c>
      <c r="O57" s="25"/>
      <c r="P57" s="29">
        <v>0</v>
      </c>
      <c r="Q57" s="26">
        <v>0</v>
      </c>
      <c r="R57" s="25"/>
      <c r="S57" s="26">
        <v>16345000</v>
      </c>
      <c r="T57" s="26">
        <v>0</v>
      </c>
      <c r="U57" s="25"/>
      <c r="V57" s="25"/>
      <c r="W57" s="25"/>
      <c r="X57" s="25"/>
      <c r="Y57" s="27"/>
      <c r="Z57" s="19">
        <f>IFERROR(#REF!/#REF!-1,0)</f>
        <v>0</v>
      </c>
      <c r="AA57" s="19">
        <f>IFERROR(C57/C56-1,0)</f>
        <v>2.3348120845126044</v>
      </c>
      <c r="AB57" s="19">
        <f>IFERROR(#REF!/#REF!-1,0)</f>
        <v>0</v>
      </c>
    </row>
    <row r="58" spans="1:29" s="20" customFormat="1" ht="25.5" customHeight="1" x14ac:dyDescent="0.4">
      <c r="A58" s="173"/>
      <c r="B58" s="96" t="s">
        <v>56</v>
      </c>
      <c r="C58" s="22">
        <f t="shared" si="38"/>
        <v>91850558</v>
      </c>
      <c r="D58" s="97">
        <v>1271000</v>
      </c>
      <c r="E58" s="98">
        <v>6405000</v>
      </c>
      <c r="F58" s="98">
        <v>0</v>
      </c>
      <c r="G58" s="99">
        <v>580000</v>
      </c>
      <c r="H58" s="100">
        <v>0</v>
      </c>
      <c r="I58" s="100">
        <v>0</v>
      </c>
      <c r="J58" s="100">
        <v>0</v>
      </c>
      <c r="K58" s="100">
        <v>0</v>
      </c>
      <c r="L58" s="98">
        <v>6765000</v>
      </c>
      <c r="M58" s="98">
        <v>3794500</v>
      </c>
      <c r="N58" s="98">
        <v>446000</v>
      </c>
      <c r="O58" s="100"/>
      <c r="P58" s="101">
        <v>0</v>
      </c>
      <c r="Q58" s="102">
        <v>3326000</v>
      </c>
      <c r="R58" s="100"/>
      <c r="S58" s="102">
        <v>45812000</v>
      </c>
      <c r="T58" s="102">
        <v>23451058</v>
      </c>
      <c r="U58" s="100"/>
      <c r="V58" s="100"/>
      <c r="W58" s="100"/>
      <c r="X58" s="100"/>
      <c r="Y58" s="103"/>
      <c r="Z58" s="19"/>
      <c r="AA58" s="19"/>
      <c r="AB58" s="19"/>
    </row>
    <row r="59" spans="1:29" s="44" customFormat="1" ht="25.5" customHeight="1" x14ac:dyDescent="0.4">
      <c r="A59" s="173"/>
      <c r="B59" s="21" t="s">
        <v>33</v>
      </c>
      <c r="C59" s="22">
        <f t="shared" si="38"/>
        <v>116401000</v>
      </c>
      <c r="D59" s="23">
        <v>6216000</v>
      </c>
      <c r="E59" s="22">
        <v>8550000</v>
      </c>
      <c r="F59" s="22">
        <v>0</v>
      </c>
      <c r="G59" s="28">
        <v>2710000</v>
      </c>
      <c r="H59" s="25">
        <v>0</v>
      </c>
      <c r="I59" s="25">
        <v>0</v>
      </c>
      <c r="J59" s="25">
        <v>0</v>
      </c>
      <c r="K59" s="25">
        <v>0</v>
      </c>
      <c r="L59" s="22">
        <v>7153000</v>
      </c>
      <c r="M59" s="22">
        <v>3725000</v>
      </c>
      <c r="N59" s="22">
        <v>558000</v>
      </c>
      <c r="O59" s="25"/>
      <c r="P59" s="29">
        <v>0</v>
      </c>
      <c r="Q59" s="22">
        <v>15805000</v>
      </c>
      <c r="R59" s="25"/>
      <c r="S59" s="26">
        <v>45813000</v>
      </c>
      <c r="T59" s="22">
        <v>25871000</v>
      </c>
      <c r="U59" s="25"/>
      <c r="V59" s="25"/>
      <c r="W59" s="25"/>
      <c r="X59" s="25"/>
      <c r="Y59" s="27"/>
      <c r="Z59" s="43"/>
      <c r="AA59" s="43"/>
      <c r="AB59" s="43"/>
      <c r="AC59" s="20"/>
    </row>
    <row r="60" spans="1:29" s="20" customFormat="1" ht="25.5" customHeight="1" x14ac:dyDescent="0.4">
      <c r="A60" s="173"/>
      <c r="B60" s="30" t="s">
        <v>34</v>
      </c>
      <c r="C60" s="31">
        <f t="shared" si="38"/>
        <v>169018120</v>
      </c>
      <c r="D60" s="32">
        <v>8532000</v>
      </c>
      <c r="E60" s="31">
        <v>16329000</v>
      </c>
      <c r="F60" s="31">
        <v>0</v>
      </c>
      <c r="G60" s="33">
        <v>10027000</v>
      </c>
      <c r="H60" s="31">
        <v>16688900</v>
      </c>
      <c r="I60" s="34">
        <v>0</v>
      </c>
      <c r="J60" s="34">
        <v>0</v>
      </c>
      <c r="K60" s="34"/>
      <c r="L60" s="31">
        <v>3658000</v>
      </c>
      <c r="M60" s="31">
        <v>8058000</v>
      </c>
      <c r="N60" s="31">
        <v>762000</v>
      </c>
      <c r="O60" s="34"/>
      <c r="P60" s="33">
        <v>372000</v>
      </c>
      <c r="Q60" s="34">
        <v>0</v>
      </c>
      <c r="R60" s="34"/>
      <c r="S60" s="35">
        <v>45787000</v>
      </c>
      <c r="T60" s="31">
        <v>55693000</v>
      </c>
      <c r="U60" s="34"/>
      <c r="V60" s="34"/>
      <c r="W60" s="34"/>
      <c r="X60" s="31">
        <v>3111220</v>
      </c>
      <c r="Y60" s="36"/>
      <c r="Z60" s="19"/>
      <c r="AA60" s="19"/>
      <c r="AB60" s="19"/>
    </row>
    <row r="61" spans="1:29" s="20" customFormat="1" ht="25.5" customHeight="1" x14ac:dyDescent="0.4">
      <c r="A61" s="173"/>
      <c r="B61" s="30" t="s">
        <v>57</v>
      </c>
      <c r="C61" s="31">
        <f t="shared" si="38"/>
        <v>161501690</v>
      </c>
      <c r="D61" s="32">
        <v>20139000</v>
      </c>
      <c r="E61" s="31">
        <v>13252000</v>
      </c>
      <c r="F61" s="31">
        <v>6218000</v>
      </c>
      <c r="G61" s="33">
        <v>11410000</v>
      </c>
      <c r="H61" s="31">
        <v>23501000</v>
      </c>
      <c r="I61" s="34">
        <v>0</v>
      </c>
      <c r="J61" s="34">
        <v>0</v>
      </c>
      <c r="K61" s="34">
        <v>0</v>
      </c>
      <c r="L61" s="31">
        <v>12086000</v>
      </c>
      <c r="M61" s="31">
        <v>3527000</v>
      </c>
      <c r="N61" s="31">
        <v>397000</v>
      </c>
      <c r="O61" s="31">
        <v>788000</v>
      </c>
      <c r="P61" s="33">
        <v>0</v>
      </c>
      <c r="Q61" s="34">
        <v>0</v>
      </c>
      <c r="R61" s="34"/>
      <c r="S61" s="31">
        <v>47738000</v>
      </c>
      <c r="T61" s="31">
        <v>13319000</v>
      </c>
      <c r="U61" s="34"/>
      <c r="V61" s="34"/>
      <c r="W61" s="34"/>
      <c r="X61" s="31">
        <v>9126690</v>
      </c>
      <c r="Y61" s="36"/>
      <c r="Z61" s="19"/>
      <c r="AA61" s="19"/>
      <c r="AB61" s="19"/>
    </row>
    <row r="62" spans="1:29" s="44" customFormat="1" ht="25.5" customHeight="1" x14ac:dyDescent="0.4">
      <c r="A62" s="173"/>
      <c r="B62" s="37" t="s">
        <v>36</v>
      </c>
      <c r="C62" s="38">
        <f t="shared" si="38"/>
        <v>241662185</v>
      </c>
      <c r="D62" s="39">
        <v>15844000</v>
      </c>
      <c r="E62" s="38">
        <v>10507000</v>
      </c>
      <c r="F62" s="38">
        <v>3116000</v>
      </c>
      <c r="G62" s="40">
        <v>5924000</v>
      </c>
      <c r="H62" s="38">
        <v>26300000</v>
      </c>
      <c r="I62" s="41">
        <v>0</v>
      </c>
      <c r="J62" s="41">
        <v>0</v>
      </c>
      <c r="K62" s="38">
        <v>8532000</v>
      </c>
      <c r="L62" s="38">
        <v>14624000</v>
      </c>
      <c r="M62" s="38">
        <v>14004000</v>
      </c>
      <c r="N62" s="38">
        <v>185000</v>
      </c>
      <c r="O62" s="38">
        <v>416000</v>
      </c>
      <c r="P62" s="40">
        <v>0</v>
      </c>
      <c r="Q62" s="41">
        <v>0</v>
      </c>
      <c r="R62" s="38">
        <v>4949000</v>
      </c>
      <c r="S62" s="38">
        <v>53572000</v>
      </c>
      <c r="T62" s="38">
        <v>40146000</v>
      </c>
      <c r="U62" s="38">
        <v>37320000</v>
      </c>
      <c r="V62" s="41">
        <v>0</v>
      </c>
      <c r="W62" s="38">
        <v>306000</v>
      </c>
      <c r="X62" s="38">
        <v>5917185</v>
      </c>
      <c r="Y62" s="42"/>
      <c r="Z62" s="43"/>
      <c r="AA62" s="43"/>
      <c r="AB62" s="43"/>
    </row>
    <row r="63" spans="1:29" s="44" customFormat="1" ht="25.5" customHeight="1" x14ac:dyDescent="0.4">
      <c r="A63" s="173"/>
      <c r="B63" s="45" t="s">
        <v>37</v>
      </c>
      <c r="C63" s="46">
        <f t="shared" si="38"/>
        <v>263800000</v>
      </c>
      <c r="D63" s="47">
        <f>ROUNDUP(D61*102%,-5)</f>
        <v>20600000</v>
      </c>
      <c r="E63" s="46">
        <f t="shared" ref="E63:J63" si="39">ROUNDUP(E61*102%,-5)</f>
        <v>13600000</v>
      </c>
      <c r="F63" s="46">
        <f t="shared" si="39"/>
        <v>6400000</v>
      </c>
      <c r="G63" s="48">
        <f>ROUNDUP(G61*104%,-5)</f>
        <v>11900000</v>
      </c>
      <c r="H63" s="46">
        <f>ROUNDUP(H61*105%,-5)</f>
        <v>24700000</v>
      </c>
      <c r="I63" s="49">
        <f t="shared" si="39"/>
        <v>0</v>
      </c>
      <c r="J63" s="49">
        <f t="shared" si="39"/>
        <v>0</v>
      </c>
      <c r="K63" s="46">
        <f>ROUNDUP(K55*70%,-5)</f>
        <v>19600000</v>
      </c>
      <c r="L63" s="50">
        <f>ROUNDUP(L61*250%,-5)</f>
        <v>30300000</v>
      </c>
      <c r="M63" s="50">
        <f>ROUNDUP(M61*200%,-5)</f>
        <v>7100000</v>
      </c>
      <c r="N63" s="46">
        <f t="shared" ref="N63:Q63" si="40">ROUNDUP(N61*102%,-5)</f>
        <v>500000</v>
      </c>
      <c r="O63" s="46">
        <f t="shared" si="40"/>
        <v>900000</v>
      </c>
      <c r="P63" s="48">
        <f t="shared" si="40"/>
        <v>0</v>
      </c>
      <c r="Q63" s="49">
        <f t="shared" si="40"/>
        <v>0</v>
      </c>
      <c r="R63" s="50">
        <v>6000000</v>
      </c>
      <c r="S63" s="50">
        <f>ROUNDUP(S61*130%,-5)</f>
        <v>62100000</v>
      </c>
      <c r="T63" s="50">
        <f>ROUNDUP(T61*150%,-5)</f>
        <v>20000000</v>
      </c>
      <c r="U63" s="50">
        <v>30000000</v>
      </c>
      <c r="V63" s="49">
        <v>0</v>
      </c>
      <c r="W63" s="50">
        <v>500000</v>
      </c>
      <c r="X63" s="46">
        <f>ROUNDUP(X61*105%,-5)</f>
        <v>9600000</v>
      </c>
      <c r="Y63" s="51" t="s">
        <v>38</v>
      </c>
      <c r="Z63" s="43"/>
      <c r="AA63" s="43">
        <f>D63/D55</f>
        <v>2.3575188830395972</v>
      </c>
      <c r="AB63" s="43"/>
    </row>
    <row r="64" spans="1:29" s="59" customFormat="1" ht="25.5" customHeight="1" x14ac:dyDescent="0.4">
      <c r="A64" s="173"/>
      <c r="B64" s="12" t="s">
        <v>39</v>
      </c>
      <c r="C64" s="52">
        <f>SUM(D64:X64)</f>
        <v>66080785</v>
      </c>
      <c r="D64" s="53">
        <f>D62-D55</f>
        <v>7106000</v>
      </c>
      <c r="E64" s="52">
        <f t="shared" ref="E64:X64" si="41">E62-E55</f>
        <v>-18028000</v>
      </c>
      <c r="F64" s="54">
        <f t="shared" si="41"/>
        <v>3116000</v>
      </c>
      <c r="G64" s="55">
        <f t="shared" si="41"/>
        <v>5924000</v>
      </c>
      <c r="H64" s="54">
        <f t="shared" si="41"/>
        <v>26300000</v>
      </c>
      <c r="I64" s="52">
        <f t="shared" si="41"/>
        <v>-26156400</v>
      </c>
      <c r="J64" s="52">
        <f t="shared" si="41"/>
        <v>0</v>
      </c>
      <c r="K64" s="56">
        <f t="shared" si="41"/>
        <v>-19370000</v>
      </c>
      <c r="L64" s="52">
        <f t="shared" si="41"/>
        <v>4440000</v>
      </c>
      <c r="M64" s="52">
        <f t="shared" si="41"/>
        <v>10678000</v>
      </c>
      <c r="N64" s="52">
        <f t="shared" si="41"/>
        <v>185000</v>
      </c>
      <c r="O64" s="54">
        <f t="shared" si="41"/>
        <v>416000</v>
      </c>
      <c r="P64" s="55">
        <f t="shared" si="41"/>
        <v>0</v>
      </c>
      <c r="Q64" s="56">
        <f t="shared" si="41"/>
        <v>-29369000</v>
      </c>
      <c r="R64" s="54">
        <f t="shared" si="41"/>
        <v>4949000</v>
      </c>
      <c r="S64" s="56">
        <f t="shared" si="41"/>
        <v>26774000</v>
      </c>
      <c r="T64" s="56">
        <f t="shared" si="41"/>
        <v>25573000</v>
      </c>
      <c r="U64" s="54">
        <f t="shared" si="41"/>
        <v>37320000</v>
      </c>
      <c r="V64" s="54">
        <f t="shared" si="41"/>
        <v>0</v>
      </c>
      <c r="W64" s="54">
        <f t="shared" si="41"/>
        <v>306000</v>
      </c>
      <c r="X64" s="54">
        <f t="shared" si="41"/>
        <v>5917185</v>
      </c>
      <c r="Y64" s="57"/>
      <c r="Z64" s="58"/>
      <c r="AA64" s="58"/>
      <c r="AB64" s="58"/>
    </row>
    <row r="65" spans="1:28" s="20" customFormat="1" ht="25.5" customHeight="1" x14ac:dyDescent="0.4">
      <c r="A65" s="173"/>
      <c r="B65" s="21" t="s">
        <v>40</v>
      </c>
      <c r="C65" s="60">
        <f>IFERROR(C61/C55,0)</f>
        <v>0.91981092530302189</v>
      </c>
      <c r="D65" s="61">
        <f>IFERROR(D62/D55,0)</f>
        <v>1.8132295719844358</v>
      </c>
      <c r="E65" s="60">
        <f t="shared" ref="E65:X65" si="42">IFERROR(E62/E55,0)</f>
        <v>0.36821447345365343</v>
      </c>
      <c r="F65" s="62">
        <f t="shared" si="42"/>
        <v>0</v>
      </c>
      <c r="G65" s="63">
        <f t="shared" si="42"/>
        <v>0</v>
      </c>
      <c r="H65" s="62">
        <f t="shared" si="42"/>
        <v>0</v>
      </c>
      <c r="I65" s="60">
        <f t="shared" si="42"/>
        <v>0</v>
      </c>
      <c r="J65" s="60">
        <f t="shared" si="42"/>
        <v>0</v>
      </c>
      <c r="K65" s="64">
        <f t="shared" si="42"/>
        <v>0.30578453157479751</v>
      </c>
      <c r="L65" s="60">
        <f t="shared" si="42"/>
        <v>1.4359780047132757</v>
      </c>
      <c r="M65" s="60">
        <f t="shared" si="42"/>
        <v>4.2104630186410104</v>
      </c>
      <c r="N65" s="60">
        <f t="shared" si="42"/>
        <v>0</v>
      </c>
      <c r="O65" s="62">
        <f t="shared" si="42"/>
        <v>0</v>
      </c>
      <c r="P65" s="63">
        <f t="shared" si="42"/>
        <v>0</v>
      </c>
      <c r="Q65" s="64">
        <f t="shared" si="42"/>
        <v>0</v>
      </c>
      <c r="R65" s="62">
        <f t="shared" si="42"/>
        <v>0</v>
      </c>
      <c r="S65" s="64">
        <f t="shared" si="42"/>
        <v>1.9991044107769236</v>
      </c>
      <c r="T65" s="64">
        <f t="shared" si="42"/>
        <v>2.7548205585672134</v>
      </c>
      <c r="U65" s="62">
        <f t="shared" si="42"/>
        <v>0</v>
      </c>
      <c r="V65" s="62">
        <f t="shared" si="42"/>
        <v>0</v>
      </c>
      <c r="W65" s="62">
        <f t="shared" si="42"/>
        <v>0</v>
      </c>
      <c r="X65" s="62">
        <f t="shared" si="42"/>
        <v>0</v>
      </c>
      <c r="Y65" s="65"/>
      <c r="Z65" s="19"/>
      <c r="AA65" s="19"/>
      <c r="AB65" s="19"/>
    </row>
    <row r="66" spans="1:28" s="59" customFormat="1" ht="25.5" customHeight="1" x14ac:dyDescent="0.4">
      <c r="A66" s="173"/>
      <c r="B66" s="21" t="s">
        <v>41</v>
      </c>
      <c r="C66" s="66">
        <f>SUM(D66:X66)</f>
        <v>234065685</v>
      </c>
      <c r="D66" s="67">
        <f>D62-D56</f>
        <v>15844000</v>
      </c>
      <c r="E66" s="66">
        <f t="shared" ref="E66:X66" si="43">E62-E56</f>
        <v>10507000</v>
      </c>
      <c r="F66" s="66">
        <f t="shared" si="43"/>
        <v>3116000</v>
      </c>
      <c r="G66" s="68">
        <f t="shared" si="43"/>
        <v>5924000</v>
      </c>
      <c r="H66" s="69">
        <f t="shared" si="43"/>
        <v>26300000</v>
      </c>
      <c r="I66" s="66">
        <f t="shared" si="43"/>
        <v>-375000</v>
      </c>
      <c r="J66" s="69">
        <f t="shared" si="43"/>
        <v>0</v>
      </c>
      <c r="K66" s="70">
        <f t="shared" si="43"/>
        <v>8532000</v>
      </c>
      <c r="L66" s="66">
        <f t="shared" si="43"/>
        <v>13082000</v>
      </c>
      <c r="M66" s="66">
        <f t="shared" si="43"/>
        <v>11298500</v>
      </c>
      <c r="N66" s="66">
        <f t="shared" si="43"/>
        <v>185000</v>
      </c>
      <c r="O66" s="69">
        <f t="shared" si="43"/>
        <v>416000</v>
      </c>
      <c r="P66" s="68">
        <f t="shared" si="43"/>
        <v>0</v>
      </c>
      <c r="Q66" s="70">
        <f t="shared" si="43"/>
        <v>-36000</v>
      </c>
      <c r="R66" s="69">
        <f t="shared" si="43"/>
        <v>4949000</v>
      </c>
      <c r="S66" s="70">
        <f t="shared" si="43"/>
        <v>50760000</v>
      </c>
      <c r="T66" s="70">
        <f t="shared" si="43"/>
        <v>40020000</v>
      </c>
      <c r="U66" s="69">
        <f t="shared" si="43"/>
        <v>37320000</v>
      </c>
      <c r="V66" s="69">
        <f t="shared" si="43"/>
        <v>0</v>
      </c>
      <c r="W66" s="69">
        <f t="shared" si="43"/>
        <v>306000</v>
      </c>
      <c r="X66" s="69">
        <f t="shared" si="43"/>
        <v>5917185</v>
      </c>
      <c r="Y66" s="27"/>
      <c r="Z66" s="58"/>
      <c r="AA66" s="58"/>
      <c r="AB66" s="58"/>
    </row>
    <row r="67" spans="1:28" s="20" customFormat="1" ht="25.5" customHeight="1" x14ac:dyDescent="0.4">
      <c r="A67" s="173"/>
      <c r="B67" s="21" t="s">
        <v>42</v>
      </c>
      <c r="C67" s="60">
        <f>IFERROR(C61/C56,0)</f>
        <v>21.260013163957087</v>
      </c>
      <c r="D67" s="61">
        <f>IFERROR(D62/D56,0)</f>
        <v>0</v>
      </c>
      <c r="E67" s="60">
        <f t="shared" ref="E67:X67" si="44">IFERROR(E62/E56,0)</f>
        <v>0</v>
      </c>
      <c r="F67" s="60">
        <f t="shared" si="44"/>
        <v>0</v>
      </c>
      <c r="G67" s="63">
        <f t="shared" si="44"/>
        <v>0</v>
      </c>
      <c r="H67" s="62">
        <f t="shared" si="44"/>
        <v>0</v>
      </c>
      <c r="I67" s="60">
        <f t="shared" si="44"/>
        <v>0</v>
      </c>
      <c r="J67" s="62">
        <f t="shared" si="44"/>
        <v>0</v>
      </c>
      <c r="K67" s="64">
        <f t="shared" si="44"/>
        <v>0</v>
      </c>
      <c r="L67" s="60">
        <f t="shared" si="44"/>
        <v>9.4837872892347601</v>
      </c>
      <c r="M67" s="60">
        <f t="shared" si="44"/>
        <v>5.1761227129920533</v>
      </c>
      <c r="N67" s="60">
        <f t="shared" si="44"/>
        <v>0</v>
      </c>
      <c r="O67" s="62">
        <f t="shared" si="44"/>
        <v>0</v>
      </c>
      <c r="P67" s="63">
        <f t="shared" si="44"/>
        <v>0</v>
      </c>
      <c r="Q67" s="64">
        <f t="shared" si="44"/>
        <v>0</v>
      </c>
      <c r="R67" s="62">
        <f t="shared" si="44"/>
        <v>0</v>
      </c>
      <c r="S67" s="64">
        <f t="shared" si="44"/>
        <v>19.051209103840684</v>
      </c>
      <c r="T67" s="64">
        <f t="shared" si="44"/>
        <v>318.61904761904759</v>
      </c>
      <c r="U67" s="62">
        <f t="shared" si="44"/>
        <v>0</v>
      </c>
      <c r="V67" s="62">
        <f t="shared" si="44"/>
        <v>0</v>
      </c>
      <c r="W67" s="62">
        <f t="shared" si="44"/>
        <v>0</v>
      </c>
      <c r="X67" s="62">
        <f t="shared" si="44"/>
        <v>0</v>
      </c>
      <c r="Y67" s="65"/>
      <c r="Z67" s="19"/>
      <c r="AA67" s="19"/>
      <c r="AB67" s="19"/>
    </row>
    <row r="68" spans="1:28" s="59" customFormat="1" ht="25.5" customHeight="1" x14ac:dyDescent="0.4">
      <c r="A68" s="173"/>
      <c r="B68" s="21" t="s">
        <v>43</v>
      </c>
      <c r="C68" s="66">
        <f>SUM(D68:X68)</f>
        <v>216329285</v>
      </c>
      <c r="D68" s="67">
        <f>D62-D57</f>
        <v>15844000</v>
      </c>
      <c r="E68" s="66">
        <f t="shared" ref="E68:X68" si="45">E62-E57</f>
        <v>10507000</v>
      </c>
      <c r="F68" s="66">
        <f t="shared" si="45"/>
        <v>3116000</v>
      </c>
      <c r="G68" s="71">
        <f t="shared" si="45"/>
        <v>5924000</v>
      </c>
      <c r="H68" s="69">
        <f t="shared" si="45"/>
        <v>26300000</v>
      </c>
      <c r="I68" s="66">
        <f t="shared" si="45"/>
        <v>-3135900</v>
      </c>
      <c r="J68" s="69">
        <f t="shared" si="45"/>
        <v>0</v>
      </c>
      <c r="K68" s="25">
        <f t="shared" si="45"/>
        <v>8532000</v>
      </c>
      <c r="L68" s="66">
        <f t="shared" si="45"/>
        <v>10424000</v>
      </c>
      <c r="M68" s="66">
        <f t="shared" si="45"/>
        <v>12352000</v>
      </c>
      <c r="N68" s="66">
        <f t="shared" si="45"/>
        <v>185000</v>
      </c>
      <c r="O68" s="69">
        <f t="shared" si="45"/>
        <v>416000</v>
      </c>
      <c r="P68" s="72">
        <f t="shared" si="45"/>
        <v>0</v>
      </c>
      <c r="Q68" s="70">
        <f t="shared" si="45"/>
        <v>0</v>
      </c>
      <c r="R68" s="69">
        <f t="shared" si="45"/>
        <v>4949000</v>
      </c>
      <c r="S68" s="70">
        <f t="shared" si="45"/>
        <v>37227000</v>
      </c>
      <c r="T68" s="70">
        <f t="shared" si="45"/>
        <v>40146000</v>
      </c>
      <c r="U68" s="69">
        <f t="shared" si="45"/>
        <v>37320000</v>
      </c>
      <c r="V68" s="69">
        <f t="shared" si="45"/>
        <v>0</v>
      </c>
      <c r="W68" s="69">
        <f t="shared" si="45"/>
        <v>306000</v>
      </c>
      <c r="X68" s="69">
        <f t="shared" si="45"/>
        <v>5917185</v>
      </c>
      <c r="Y68" s="27"/>
      <c r="Z68" s="58"/>
      <c r="AA68" s="58"/>
      <c r="AB68" s="58"/>
    </row>
    <row r="69" spans="1:28" s="20" customFormat="1" ht="25.5" customHeight="1" x14ac:dyDescent="0.4">
      <c r="A69" s="173"/>
      <c r="B69" s="21" t="s">
        <v>44</v>
      </c>
      <c r="C69" s="60">
        <f>IFERROR(C61/C57,0)</f>
        <v>6.3751757595853613</v>
      </c>
      <c r="D69" s="61">
        <f>IFERROR(D62/D57,0)</f>
        <v>0</v>
      </c>
      <c r="E69" s="60">
        <f t="shared" ref="E69:X69" si="46">IFERROR(E62/E57,0)</f>
        <v>0</v>
      </c>
      <c r="F69" s="60">
        <f t="shared" si="46"/>
        <v>0</v>
      </c>
      <c r="G69" s="73">
        <f t="shared" si="46"/>
        <v>0</v>
      </c>
      <c r="H69" s="62">
        <f t="shared" si="46"/>
        <v>0</v>
      </c>
      <c r="I69" s="60">
        <f t="shared" si="46"/>
        <v>0</v>
      </c>
      <c r="J69" s="62">
        <f t="shared" si="46"/>
        <v>0</v>
      </c>
      <c r="K69" s="62">
        <f t="shared" si="46"/>
        <v>0</v>
      </c>
      <c r="L69" s="60">
        <f t="shared" si="46"/>
        <v>3.4819047619047621</v>
      </c>
      <c r="M69" s="60">
        <f t="shared" si="46"/>
        <v>8.4769975786924938</v>
      </c>
      <c r="N69" s="60">
        <f t="shared" si="46"/>
        <v>0</v>
      </c>
      <c r="O69" s="62">
        <f t="shared" si="46"/>
        <v>0</v>
      </c>
      <c r="P69" s="74">
        <f t="shared" si="46"/>
        <v>0</v>
      </c>
      <c r="Q69" s="64">
        <f t="shared" si="46"/>
        <v>0</v>
      </c>
      <c r="R69" s="62">
        <f t="shared" si="46"/>
        <v>0</v>
      </c>
      <c r="S69" s="64">
        <f t="shared" si="46"/>
        <v>3.2775772407464054</v>
      </c>
      <c r="T69" s="64">
        <f t="shared" si="46"/>
        <v>0</v>
      </c>
      <c r="U69" s="62">
        <f t="shared" si="46"/>
        <v>0</v>
      </c>
      <c r="V69" s="62">
        <f t="shared" si="46"/>
        <v>0</v>
      </c>
      <c r="W69" s="62">
        <f t="shared" si="46"/>
        <v>0</v>
      </c>
      <c r="X69" s="62">
        <f t="shared" si="46"/>
        <v>0</v>
      </c>
      <c r="Y69" s="65"/>
      <c r="Z69" s="19"/>
      <c r="AA69" s="19"/>
      <c r="AB69" s="19"/>
    </row>
    <row r="70" spans="1:28" s="59" customFormat="1" ht="25.5" customHeight="1" x14ac:dyDescent="0.4">
      <c r="A70" s="173"/>
      <c r="B70" s="21" t="s">
        <v>45</v>
      </c>
      <c r="C70" s="66">
        <f>SUM(D70:X70)</f>
        <v>149811627</v>
      </c>
      <c r="D70" s="67">
        <f>D62-D58</f>
        <v>14573000</v>
      </c>
      <c r="E70" s="66">
        <f t="shared" ref="E70:X70" si="47">E62-E58</f>
        <v>4102000</v>
      </c>
      <c r="F70" s="66">
        <f t="shared" si="47"/>
        <v>3116000</v>
      </c>
      <c r="G70" s="71">
        <f t="shared" si="47"/>
        <v>5344000</v>
      </c>
      <c r="H70" s="69">
        <f t="shared" si="47"/>
        <v>26300000</v>
      </c>
      <c r="I70" s="66">
        <f t="shared" si="47"/>
        <v>0</v>
      </c>
      <c r="J70" s="69">
        <f t="shared" si="47"/>
        <v>0</v>
      </c>
      <c r="K70" s="25">
        <f t="shared" si="47"/>
        <v>8532000</v>
      </c>
      <c r="L70" s="66">
        <f t="shared" si="47"/>
        <v>7859000</v>
      </c>
      <c r="M70" s="66">
        <f t="shared" si="47"/>
        <v>10209500</v>
      </c>
      <c r="N70" s="66">
        <f t="shared" si="47"/>
        <v>-261000</v>
      </c>
      <c r="O70" s="69">
        <f t="shared" si="47"/>
        <v>416000</v>
      </c>
      <c r="P70" s="72">
        <f t="shared" si="47"/>
        <v>0</v>
      </c>
      <c r="Q70" s="70">
        <f t="shared" si="47"/>
        <v>-3326000</v>
      </c>
      <c r="R70" s="69">
        <f t="shared" si="47"/>
        <v>4949000</v>
      </c>
      <c r="S70" s="70">
        <f t="shared" si="47"/>
        <v>7760000</v>
      </c>
      <c r="T70" s="70">
        <f t="shared" si="47"/>
        <v>16694942</v>
      </c>
      <c r="U70" s="69">
        <f t="shared" si="47"/>
        <v>37320000</v>
      </c>
      <c r="V70" s="69">
        <f t="shared" si="47"/>
        <v>0</v>
      </c>
      <c r="W70" s="69">
        <f t="shared" si="47"/>
        <v>306000</v>
      </c>
      <c r="X70" s="69">
        <f t="shared" si="47"/>
        <v>5917185</v>
      </c>
      <c r="Y70" s="27"/>
      <c r="Z70" s="58"/>
      <c r="AA70" s="58"/>
      <c r="AB70" s="58"/>
    </row>
    <row r="71" spans="1:28" s="20" customFormat="1" ht="25.5" customHeight="1" x14ac:dyDescent="0.4">
      <c r="A71" s="173"/>
      <c r="B71" s="21" t="s">
        <v>46</v>
      </c>
      <c r="C71" s="60">
        <f>IFERROR(C61/C58,0)</f>
        <v>1.7583092962810307</v>
      </c>
      <c r="D71" s="61">
        <f>IFERROR(D62/D58,0)</f>
        <v>12.465774980330448</v>
      </c>
      <c r="E71" s="60">
        <f t="shared" ref="E71:X71" si="48">IFERROR(E62/E58,0)</f>
        <v>1.6404371584699453</v>
      </c>
      <c r="F71" s="60">
        <f t="shared" si="48"/>
        <v>0</v>
      </c>
      <c r="G71" s="73">
        <f t="shared" si="48"/>
        <v>10.213793103448277</v>
      </c>
      <c r="H71" s="62">
        <f t="shared" si="48"/>
        <v>0</v>
      </c>
      <c r="I71" s="60">
        <f t="shared" si="48"/>
        <v>0</v>
      </c>
      <c r="J71" s="62">
        <f t="shared" si="48"/>
        <v>0</v>
      </c>
      <c r="K71" s="62">
        <f t="shared" si="48"/>
        <v>0</v>
      </c>
      <c r="L71" s="60">
        <f t="shared" si="48"/>
        <v>2.1617147080561714</v>
      </c>
      <c r="M71" s="60">
        <f t="shared" si="48"/>
        <v>3.6906048227697985</v>
      </c>
      <c r="N71" s="60">
        <f t="shared" si="48"/>
        <v>0.41479820627802688</v>
      </c>
      <c r="O71" s="62">
        <f t="shared" si="48"/>
        <v>0</v>
      </c>
      <c r="P71" s="74">
        <f t="shared" si="48"/>
        <v>0</v>
      </c>
      <c r="Q71" s="64">
        <f t="shared" si="48"/>
        <v>0</v>
      </c>
      <c r="R71" s="62">
        <f t="shared" si="48"/>
        <v>0</v>
      </c>
      <c r="S71" s="64">
        <f t="shared" si="48"/>
        <v>1.1693879332925872</v>
      </c>
      <c r="T71" s="64">
        <f t="shared" si="48"/>
        <v>1.7119057059174048</v>
      </c>
      <c r="U71" s="62">
        <f t="shared" si="48"/>
        <v>0</v>
      </c>
      <c r="V71" s="62">
        <f t="shared" si="48"/>
        <v>0</v>
      </c>
      <c r="W71" s="62">
        <f t="shared" si="48"/>
        <v>0</v>
      </c>
      <c r="X71" s="62">
        <f t="shared" si="48"/>
        <v>0</v>
      </c>
      <c r="Y71" s="65"/>
      <c r="Z71" s="19"/>
      <c r="AA71" s="19"/>
      <c r="AB71" s="19"/>
    </row>
    <row r="72" spans="1:28" s="59" customFormat="1" ht="25.5" customHeight="1" x14ac:dyDescent="0.4">
      <c r="A72" s="173"/>
      <c r="B72" s="21" t="s">
        <v>47</v>
      </c>
      <c r="C72" s="66">
        <f>SUM(D72:X72)</f>
        <v>125261185</v>
      </c>
      <c r="D72" s="67">
        <f>D62-D59</f>
        <v>9628000</v>
      </c>
      <c r="E72" s="66">
        <f t="shared" ref="E72:X72" si="49">E62-E59</f>
        <v>1957000</v>
      </c>
      <c r="F72" s="66">
        <f t="shared" si="49"/>
        <v>3116000</v>
      </c>
      <c r="G72" s="71">
        <f t="shared" si="49"/>
        <v>3214000</v>
      </c>
      <c r="H72" s="69">
        <f t="shared" si="49"/>
        <v>26300000</v>
      </c>
      <c r="I72" s="69">
        <f t="shared" si="49"/>
        <v>0</v>
      </c>
      <c r="J72" s="69">
        <f t="shared" si="49"/>
        <v>0</v>
      </c>
      <c r="K72" s="25">
        <f t="shared" si="49"/>
        <v>8532000</v>
      </c>
      <c r="L72" s="66">
        <f t="shared" si="49"/>
        <v>7471000</v>
      </c>
      <c r="M72" s="66">
        <f t="shared" si="49"/>
        <v>10279000</v>
      </c>
      <c r="N72" s="66">
        <f t="shared" si="49"/>
        <v>-373000</v>
      </c>
      <c r="O72" s="69">
        <f t="shared" si="49"/>
        <v>416000</v>
      </c>
      <c r="P72" s="72">
        <f t="shared" si="49"/>
        <v>0</v>
      </c>
      <c r="Q72" s="66">
        <f t="shared" si="49"/>
        <v>-15805000</v>
      </c>
      <c r="R72" s="69">
        <f t="shared" si="49"/>
        <v>4949000</v>
      </c>
      <c r="S72" s="70">
        <f t="shared" si="49"/>
        <v>7759000</v>
      </c>
      <c r="T72" s="66">
        <f t="shared" si="49"/>
        <v>14275000</v>
      </c>
      <c r="U72" s="69">
        <f t="shared" si="49"/>
        <v>37320000</v>
      </c>
      <c r="V72" s="69">
        <f t="shared" si="49"/>
        <v>0</v>
      </c>
      <c r="W72" s="69">
        <f t="shared" si="49"/>
        <v>306000</v>
      </c>
      <c r="X72" s="69">
        <f t="shared" si="49"/>
        <v>5917185</v>
      </c>
      <c r="Y72" s="27"/>
      <c r="Z72" s="58"/>
      <c r="AA72" s="58"/>
      <c r="AB72" s="58"/>
    </row>
    <row r="73" spans="1:28" s="20" customFormat="1" ht="25.5" customHeight="1" x14ac:dyDescent="0.4">
      <c r="A73" s="173"/>
      <c r="B73" s="21" t="s">
        <v>48</v>
      </c>
      <c r="C73" s="60">
        <f>IFERROR(C61/C59,0)</f>
        <v>1.3874596438174929</v>
      </c>
      <c r="D73" s="61">
        <f>IFERROR(D62/D59,0)</f>
        <v>2.5489060489060491</v>
      </c>
      <c r="E73" s="60">
        <f t="shared" ref="E73:X73" si="50">IFERROR(E62/E59,0)</f>
        <v>1.2288888888888889</v>
      </c>
      <c r="F73" s="60">
        <f t="shared" si="50"/>
        <v>0</v>
      </c>
      <c r="G73" s="73">
        <f t="shared" si="50"/>
        <v>2.1859778597785979</v>
      </c>
      <c r="H73" s="62">
        <f t="shared" si="50"/>
        <v>0</v>
      </c>
      <c r="I73" s="62">
        <f t="shared" si="50"/>
        <v>0</v>
      </c>
      <c r="J73" s="62">
        <f t="shared" si="50"/>
        <v>0</v>
      </c>
      <c r="K73" s="62">
        <f t="shared" si="50"/>
        <v>0</v>
      </c>
      <c r="L73" s="60">
        <f t="shared" si="50"/>
        <v>2.044456871242835</v>
      </c>
      <c r="M73" s="60">
        <f t="shared" si="50"/>
        <v>3.7594630872483221</v>
      </c>
      <c r="N73" s="60">
        <f t="shared" si="50"/>
        <v>0.33154121863799285</v>
      </c>
      <c r="O73" s="62">
        <f t="shared" si="50"/>
        <v>0</v>
      </c>
      <c r="P73" s="74">
        <f t="shared" si="50"/>
        <v>0</v>
      </c>
      <c r="Q73" s="60">
        <f t="shared" si="50"/>
        <v>0</v>
      </c>
      <c r="R73" s="62">
        <f t="shared" si="50"/>
        <v>0</v>
      </c>
      <c r="S73" s="64">
        <f t="shared" si="50"/>
        <v>1.1693624080501168</v>
      </c>
      <c r="T73" s="60">
        <f t="shared" si="50"/>
        <v>1.5517761199799003</v>
      </c>
      <c r="U73" s="62">
        <f t="shared" si="50"/>
        <v>0</v>
      </c>
      <c r="V73" s="62">
        <f t="shared" si="50"/>
        <v>0</v>
      </c>
      <c r="W73" s="62">
        <f t="shared" si="50"/>
        <v>0</v>
      </c>
      <c r="X73" s="62">
        <f t="shared" si="50"/>
        <v>0</v>
      </c>
      <c r="Y73" s="65"/>
      <c r="Z73" s="19"/>
      <c r="AA73" s="19"/>
      <c r="AB73" s="19"/>
    </row>
    <row r="74" spans="1:28" s="20" customFormat="1" ht="25.5" customHeight="1" x14ac:dyDescent="0.4">
      <c r="A74" s="173"/>
      <c r="B74" s="21" t="s">
        <v>49</v>
      </c>
      <c r="C74" s="66">
        <f>SUM(D74:X74)</f>
        <v>72644065</v>
      </c>
      <c r="D74" s="67">
        <f>D62-D60</f>
        <v>7312000</v>
      </c>
      <c r="E74" s="66">
        <f t="shared" ref="E74:X74" si="51">E62-E60</f>
        <v>-5822000</v>
      </c>
      <c r="F74" s="66">
        <f t="shared" si="51"/>
        <v>3116000</v>
      </c>
      <c r="G74" s="71">
        <f t="shared" si="51"/>
        <v>-4103000</v>
      </c>
      <c r="H74" s="66">
        <f t="shared" si="51"/>
        <v>9611100</v>
      </c>
      <c r="I74" s="69">
        <f t="shared" si="51"/>
        <v>0</v>
      </c>
      <c r="J74" s="69">
        <f t="shared" si="51"/>
        <v>0</v>
      </c>
      <c r="K74" s="25">
        <f t="shared" si="51"/>
        <v>8532000</v>
      </c>
      <c r="L74" s="66">
        <f t="shared" si="51"/>
        <v>10966000</v>
      </c>
      <c r="M74" s="66">
        <f t="shared" si="51"/>
        <v>5946000</v>
      </c>
      <c r="N74" s="66">
        <f t="shared" si="51"/>
        <v>-577000</v>
      </c>
      <c r="O74" s="69">
        <f t="shared" si="51"/>
        <v>416000</v>
      </c>
      <c r="P74" s="71">
        <f t="shared" si="51"/>
        <v>-372000</v>
      </c>
      <c r="Q74" s="69">
        <f t="shared" si="51"/>
        <v>0</v>
      </c>
      <c r="R74" s="69">
        <f t="shared" si="51"/>
        <v>4949000</v>
      </c>
      <c r="S74" s="70">
        <f t="shared" si="51"/>
        <v>7785000</v>
      </c>
      <c r="T74" s="66">
        <f t="shared" si="51"/>
        <v>-15547000</v>
      </c>
      <c r="U74" s="69">
        <f t="shared" si="51"/>
        <v>37320000</v>
      </c>
      <c r="V74" s="69">
        <f t="shared" si="51"/>
        <v>0</v>
      </c>
      <c r="W74" s="69">
        <f t="shared" si="51"/>
        <v>306000</v>
      </c>
      <c r="X74" s="66">
        <f t="shared" si="51"/>
        <v>2805965</v>
      </c>
      <c r="Y74" s="27"/>
      <c r="Z74" s="19"/>
      <c r="AA74" s="19"/>
      <c r="AB74" s="19"/>
    </row>
    <row r="75" spans="1:28" s="20" customFormat="1" ht="25.5" customHeight="1" x14ac:dyDescent="0.4">
      <c r="A75" s="173"/>
      <c r="B75" s="21" t="s">
        <v>50</v>
      </c>
      <c r="C75" s="60">
        <f>IFERROR(C61/C60,0)</f>
        <v>0.95552885098946783</v>
      </c>
      <c r="D75" s="61">
        <f>IFERROR(D62/D60,0)</f>
        <v>1.857008907641819</v>
      </c>
      <c r="E75" s="60">
        <f t="shared" ref="E75:X75" si="52">IFERROR(E62/E60,0)</f>
        <v>0.64345642721538365</v>
      </c>
      <c r="F75" s="60">
        <f t="shared" si="52"/>
        <v>0</v>
      </c>
      <c r="G75" s="73">
        <f t="shared" si="52"/>
        <v>0.59080482696718861</v>
      </c>
      <c r="H75" s="60">
        <f t="shared" si="52"/>
        <v>1.5758977523983007</v>
      </c>
      <c r="I75" s="62">
        <f t="shared" si="52"/>
        <v>0</v>
      </c>
      <c r="J75" s="62">
        <f t="shared" si="52"/>
        <v>0</v>
      </c>
      <c r="K75" s="62">
        <f t="shared" si="52"/>
        <v>0</v>
      </c>
      <c r="L75" s="60">
        <f t="shared" si="52"/>
        <v>3.9978130125751776</v>
      </c>
      <c r="M75" s="60">
        <f t="shared" si="52"/>
        <v>1.7379002233804914</v>
      </c>
      <c r="N75" s="60">
        <f t="shared" si="52"/>
        <v>0.24278215223097113</v>
      </c>
      <c r="O75" s="62">
        <f t="shared" si="52"/>
        <v>0</v>
      </c>
      <c r="P75" s="73">
        <f t="shared" si="52"/>
        <v>0</v>
      </c>
      <c r="Q75" s="62">
        <f t="shared" si="52"/>
        <v>0</v>
      </c>
      <c r="R75" s="62">
        <f t="shared" si="52"/>
        <v>0</v>
      </c>
      <c r="S75" s="64">
        <f t="shared" si="52"/>
        <v>1.1700264267150065</v>
      </c>
      <c r="T75" s="60">
        <f t="shared" si="52"/>
        <v>0.72084463038442892</v>
      </c>
      <c r="U75" s="62">
        <f t="shared" si="52"/>
        <v>0</v>
      </c>
      <c r="V75" s="62">
        <f t="shared" si="52"/>
        <v>0</v>
      </c>
      <c r="W75" s="62">
        <f t="shared" si="52"/>
        <v>0</v>
      </c>
      <c r="X75" s="60">
        <f t="shared" si="52"/>
        <v>1.9018857554271316</v>
      </c>
      <c r="Y75" s="65"/>
      <c r="Z75" s="19"/>
      <c r="AA75" s="19"/>
      <c r="AB75" s="19"/>
    </row>
    <row r="76" spans="1:28" s="20" customFormat="1" ht="25.5" customHeight="1" x14ac:dyDescent="0.4">
      <c r="A76" s="173"/>
      <c r="B76" s="21" t="s">
        <v>51</v>
      </c>
      <c r="C76" s="66">
        <f>SUM(D76:X76)</f>
        <v>80160495</v>
      </c>
      <c r="D76" s="67">
        <f>D62-D61</f>
        <v>-4295000</v>
      </c>
      <c r="E76" s="66">
        <f t="shared" ref="E76:X76" si="53">E62-E61</f>
        <v>-2745000</v>
      </c>
      <c r="F76" s="66">
        <f t="shared" si="53"/>
        <v>-3102000</v>
      </c>
      <c r="G76" s="71">
        <f t="shared" si="53"/>
        <v>-5486000</v>
      </c>
      <c r="H76" s="66">
        <f t="shared" si="53"/>
        <v>2799000</v>
      </c>
      <c r="I76" s="69">
        <f t="shared" si="53"/>
        <v>0</v>
      </c>
      <c r="J76" s="69">
        <f t="shared" si="53"/>
        <v>0</v>
      </c>
      <c r="K76" s="22">
        <f t="shared" si="53"/>
        <v>8532000</v>
      </c>
      <c r="L76" s="66">
        <f t="shared" si="53"/>
        <v>2538000</v>
      </c>
      <c r="M76" s="66">
        <f t="shared" si="53"/>
        <v>10477000</v>
      </c>
      <c r="N76" s="66">
        <f t="shared" si="53"/>
        <v>-212000</v>
      </c>
      <c r="O76" s="69">
        <f t="shared" si="53"/>
        <v>-372000</v>
      </c>
      <c r="P76" s="71">
        <f t="shared" si="53"/>
        <v>0</v>
      </c>
      <c r="Q76" s="69">
        <f t="shared" si="53"/>
        <v>0</v>
      </c>
      <c r="R76" s="66">
        <f t="shared" si="53"/>
        <v>4949000</v>
      </c>
      <c r="S76" s="66">
        <f t="shared" si="53"/>
        <v>5834000</v>
      </c>
      <c r="T76" s="66">
        <f t="shared" si="53"/>
        <v>26827000</v>
      </c>
      <c r="U76" s="66">
        <f t="shared" si="53"/>
        <v>37320000</v>
      </c>
      <c r="V76" s="69">
        <f t="shared" si="53"/>
        <v>0</v>
      </c>
      <c r="W76" s="66">
        <f t="shared" si="53"/>
        <v>306000</v>
      </c>
      <c r="X76" s="66">
        <f t="shared" si="53"/>
        <v>-3209505</v>
      </c>
      <c r="Y76" s="27"/>
      <c r="Z76" s="19"/>
      <c r="AA76" s="19"/>
      <c r="AB76" s="19"/>
    </row>
    <row r="77" spans="1:28" s="20" customFormat="1" ht="25.5" customHeight="1" x14ac:dyDescent="0.4">
      <c r="A77" s="173"/>
      <c r="B77" s="21" t="s">
        <v>52</v>
      </c>
      <c r="C77" s="60">
        <f>IFERROR(C63/C62,0)</f>
        <v>1.0916064505499692</v>
      </c>
      <c r="D77" s="61">
        <f>IFERROR(D62/D61,0)</f>
        <v>0.78673221113262826</v>
      </c>
      <c r="E77" s="60">
        <f t="shared" ref="E77:X77" si="54">IFERROR(E62/E61,0)</f>
        <v>0.79286145487473592</v>
      </c>
      <c r="F77" s="60">
        <f t="shared" si="54"/>
        <v>0.50112576391122543</v>
      </c>
      <c r="G77" s="73">
        <f t="shared" si="54"/>
        <v>0.51919368974583702</v>
      </c>
      <c r="H77" s="60">
        <f t="shared" si="54"/>
        <v>1.1191013148376665</v>
      </c>
      <c r="I77" s="62">
        <f t="shared" si="54"/>
        <v>0</v>
      </c>
      <c r="J77" s="62">
        <f t="shared" si="54"/>
        <v>0</v>
      </c>
      <c r="K77" s="60">
        <f t="shared" si="54"/>
        <v>0</v>
      </c>
      <c r="L77" s="60">
        <f t="shared" si="54"/>
        <v>1.2099950355783551</v>
      </c>
      <c r="M77" s="60">
        <f t="shared" si="54"/>
        <v>3.9705131840090728</v>
      </c>
      <c r="N77" s="60">
        <f t="shared" si="54"/>
        <v>0.46599496221662468</v>
      </c>
      <c r="O77" s="62">
        <f t="shared" si="54"/>
        <v>0.52791878172588835</v>
      </c>
      <c r="P77" s="73">
        <f t="shared" si="54"/>
        <v>0</v>
      </c>
      <c r="Q77" s="62">
        <f t="shared" si="54"/>
        <v>0</v>
      </c>
      <c r="R77" s="60">
        <f t="shared" si="54"/>
        <v>0</v>
      </c>
      <c r="S77" s="60">
        <f t="shared" si="54"/>
        <v>1.1222087226109179</v>
      </c>
      <c r="T77" s="60">
        <f t="shared" si="54"/>
        <v>3.014190254523613</v>
      </c>
      <c r="U77" s="60">
        <f t="shared" si="54"/>
        <v>0</v>
      </c>
      <c r="V77" s="62">
        <f t="shared" si="54"/>
        <v>0</v>
      </c>
      <c r="W77" s="60">
        <f t="shared" si="54"/>
        <v>0</v>
      </c>
      <c r="X77" s="60">
        <f t="shared" si="54"/>
        <v>0.64833855428419285</v>
      </c>
      <c r="Y77" s="65"/>
      <c r="Z77" s="19"/>
      <c r="AA77" s="19"/>
      <c r="AB77" s="19"/>
    </row>
    <row r="78" spans="1:28" s="82" customFormat="1" ht="25.5" customHeight="1" x14ac:dyDescent="0.4">
      <c r="A78" s="173"/>
      <c r="B78" s="75" t="s">
        <v>53</v>
      </c>
      <c r="C78" s="76">
        <f>SUM(D78:X78)</f>
        <v>-22137815</v>
      </c>
      <c r="D78" s="77">
        <f>D62-D63</f>
        <v>-4756000</v>
      </c>
      <c r="E78" s="76">
        <f t="shared" ref="E78:X78" si="55">E62-E63</f>
        <v>-3093000</v>
      </c>
      <c r="F78" s="76">
        <f t="shared" si="55"/>
        <v>-3284000</v>
      </c>
      <c r="G78" s="78">
        <f t="shared" si="55"/>
        <v>-5976000</v>
      </c>
      <c r="H78" s="76">
        <f t="shared" si="55"/>
        <v>1600000</v>
      </c>
      <c r="I78" s="79">
        <f t="shared" si="55"/>
        <v>0</v>
      </c>
      <c r="J78" s="79">
        <f t="shared" si="55"/>
        <v>0</v>
      </c>
      <c r="K78" s="76">
        <f t="shared" si="55"/>
        <v>-11068000</v>
      </c>
      <c r="L78" s="76">
        <f t="shared" si="55"/>
        <v>-15676000</v>
      </c>
      <c r="M78" s="76">
        <f t="shared" si="55"/>
        <v>6904000</v>
      </c>
      <c r="N78" s="76">
        <f t="shared" si="55"/>
        <v>-315000</v>
      </c>
      <c r="O78" s="76">
        <f t="shared" si="55"/>
        <v>-484000</v>
      </c>
      <c r="P78" s="78">
        <f t="shared" si="55"/>
        <v>0</v>
      </c>
      <c r="Q78" s="79">
        <f t="shared" si="55"/>
        <v>0</v>
      </c>
      <c r="R78" s="76">
        <f t="shared" si="55"/>
        <v>-1051000</v>
      </c>
      <c r="S78" s="76">
        <f t="shared" si="55"/>
        <v>-8528000</v>
      </c>
      <c r="T78" s="76">
        <f t="shared" si="55"/>
        <v>20146000</v>
      </c>
      <c r="U78" s="76">
        <f t="shared" si="55"/>
        <v>7320000</v>
      </c>
      <c r="V78" s="79">
        <f t="shared" si="55"/>
        <v>0</v>
      </c>
      <c r="W78" s="76">
        <f t="shared" si="55"/>
        <v>-194000</v>
      </c>
      <c r="X78" s="76">
        <f t="shared" si="55"/>
        <v>-3682815</v>
      </c>
      <c r="Y78" s="80"/>
      <c r="Z78" s="81"/>
      <c r="AA78" s="81"/>
      <c r="AB78" s="81"/>
    </row>
    <row r="79" spans="1:28" s="44" customFormat="1" ht="25.5" customHeight="1" thickBot="1" x14ac:dyDescent="0.45">
      <c r="A79" s="174"/>
      <c r="B79" s="83" t="s">
        <v>54</v>
      </c>
      <c r="C79" s="84">
        <f>IFERROR(C61/C63,0)</f>
        <v>0.61221262319939351</v>
      </c>
      <c r="D79" s="85">
        <f>IFERROR(D62/D63,0)</f>
        <v>0.76912621359223299</v>
      </c>
      <c r="E79" s="84">
        <f t="shared" ref="E79:X79" si="56">IFERROR(E62/E63,0)</f>
        <v>0.77257352941176471</v>
      </c>
      <c r="F79" s="84">
        <f t="shared" si="56"/>
        <v>0.486875</v>
      </c>
      <c r="G79" s="86">
        <f t="shared" si="56"/>
        <v>0.49781512605042016</v>
      </c>
      <c r="H79" s="84">
        <f t="shared" si="56"/>
        <v>1.0647773279352226</v>
      </c>
      <c r="I79" s="87">
        <f t="shared" si="56"/>
        <v>0</v>
      </c>
      <c r="J79" s="87">
        <f t="shared" si="56"/>
        <v>0</v>
      </c>
      <c r="K79" s="84">
        <f t="shared" si="56"/>
        <v>0.43530612244897959</v>
      </c>
      <c r="L79" s="84">
        <f t="shared" si="56"/>
        <v>0.48264026402640264</v>
      </c>
      <c r="M79" s="84">
        <f t="shared" si="56"/>
        <v>1.972394366197183</v>
      </c>
      <c r="N79" s="84">
        <f t="shared" si="56"/>
        <v>0.37</v>
      </c>
      <c r="O79" s="84">
        <f t="shared" si="56"/>
        <v>0.4622222222222222</v>
      </c>
      <c r="P79" s="86">
        <f t="shared" si="56"/>
        <v>0</v>
      </c>
      <c r="Q79" s="87">
        <f t="shared" si="56"/>
        <v>0</v>
      </c>
      <c r="R79" s="84">
        <f t="shared" si="56"/>
        <v>0.82483333333333331</v>
      </c>
      <c r="S79" s="84">
        <f t="shared" si="56"/>
        <v>0.86267310789049922</v>
      </c>
      <c r="T79" s="84">
        <f t="shared" si="56"/>
        <v>2.0072999999999999</v>
      </c>
      <c r="U79" s="84">
        <f t="shared" si="56"/>
        <v>1.244</v>
      </c>
      <c r="V79" s="87">
        <f t="shared" si="56"/>
        <v>0</v>
      </c>
      <c r="W79" s="84">
        <f t="shared" si="56"/>
        <v>0.61199999999999999</v>
      </c>
      <c r="X79" s="84">
        <f t="shared" si="56"/>
        <v>0.61637343749999995</v>
      </c>
      <c r="Y79" s="88"/>
      <c r="Z79" s="43"/>
      <c r="AA79" s="43"/>
      <c r="AB79" s="43"/>
    </row>
    <row r="80" spans="1:28" s="20" customFormat="1" ht="25.5" customHeight="1" thickTop="1" x14ac:dyDescent="0.4">
      <c r="A80" s="172" t="s">
        <v>59</v>
      </c>
      <c r="B80" s="89" t="s">
        <v>29</v>
      </c>
      <c r="C80" s="90">
        <f t="shared" ref="C80:C86" si="57">SUM(D80:X80)</f>
        <v>152533600</v>
      </c>
      <c r="D80" s="91">
        <v>23963800</v>
      </c>
      <c r="E80" s="90">
        <v>36145000</v>
      </c>
      <c r="F80" s="92">
        <v>0</v>
      </c>
      <c r="G80" s="93">
        <v>0</v>
      </c>
      <c r="H80" s="92">
        <v>0</v>
      </c>
      <c r="I80" s="90">
        <v>9247800</v>
      </c>
      <c r="J80" s="92">
        <v>0</v>
      </c>
      <c r="K80" s="94">
        <v>17788000</v>
      </c>
      <c r="L80" s="90">
        <v>7437000</v>
      </c>
      <c r="M80" s="90">
        <v>7091000</v>
      </c>
      <c r="N80" s="90">
        <v>0</v>
      </c>
      <c r="O80" s="92"/>
      <c r="P80" s="93">
        <v>0</v>
      </c>
      <c r="Q80" s="94">
        <v>28881000</v>
      </c>
      <c r="R80" s="92"/>
      <c r="S80" s="94">
        <v>21980000</v>
      </c>
      <c r="T80" s="94">
        <v>0</v>
      </c>
      <c r="U80" s="92"/>
      <c r="V80" s="92"/>
      <c r="W80" s="92"/>
      <c r="X80" s="92"/>
      <c r="Y80" s="95"/>
      <c r="Z80" s="19"/>
      <c r="AA80" s="19"/>
      <c r="AB80" s="19"/>
    </row>
    <row r="81" spans="1:29" s="20" customFormat="1" ht="25.5" customHeight="1" x14ac:dyDescent="0.4">
      <c r="A81" s="173"/>
      <c r="B81" s="21" t="s">
        <v>30</v>
      </c>
      <c r="C81" s="22">
        <f t="shared" si="57"/>
        <v>9450500</v>
      </c>
      <c r="D81" s="23">
        <v>472000</v>
      </c>
      <c r="E81" s="22">
        <v>480500</v>
      </c>
      <c r="F81" s="22">
        <v>1019000</v>
      </c>
      <c r="G81" s="24">
        <v>0</v>
      </c>
      <c r="H81" s="25">
        <v>0</v>
      </c>
      <c r="I81" s="22">
        <v>0</v>
      </c>
      <c r="J81" s="25">
        <v>0</v>
      </c>
      <c r="K81" s="25">
        <v>0</v>
      </c>
      <c r="L81" s="22">
        <v>1823000</v>
      </c>
      <c r="M81" s="22">
        <v>3927000</v>
      </c>
      <c r="N81" s="22">
        <v>0</v>
      </c>
      <c r="O81" s="25"/>
      <c r="P81" s="24">
        <v>0</v>
      </c>
      <c r="Q81" s="26">
        <v>0</v>
      </c>
      <c r="R81" s="25"/>
      <c r="S81" s="26">
        <v>1061000</v>
      </c>
      <c r="T81" s="26">
        <v>668000</v>
      </c>
      <c r="U81" s="25"/>
      <c r="V81" s="25"/>
      <c r="W81" s="25"/>
      <c r="X81" s="25"/>
      <c r="Y81" s="27"/>
    </row>
    <row r="82" spans="1:29" s="20" customFormat="1" ht="25.5" customHeight="1" x14ac:dyDescent="0.4">
      <c r="A82" s="173"/>
      <c r="B82" s="21" t="s">
        <v>31</v>
      </c>
      <c r="C82" s="22">
        <f t="shared" si="57"/>
        <v>33022000</v>
      </c>
      <c r="D82" s="23">
        <v>790000</v>
      </c>
      <c r="E82" s="22">
        <v>0</v>
      </c>
      <c r="F82" s="22">
        <v>0</v>
      </c>
      <c r="G82" s="28">
        <v>0</v>
      </c>
      <c r="H82" s="25">
        <v>0</v>
      </c>
      <c r="I82" s="22">
        <v>5422000</v>
      </c>
      <c r="J82" s="25">
        <v>0</v>
      </c>
      <c r="K82" s="25">
        <v>0</v>
      </c>
      <c r="L82" s="22">
        <v>4033000</v>
      </c>
      <c r="M82" s="22">
        <v>8378000</v>
      </c>
      <c r="N82" s="22">
        <v>0</v>
      </c>
      <c r="O82" s="25"/>
      <c r="P82" s="29">
        <v>0</v>
      </c>
      <c r="Q82" s="26">
        <v>0</v>
      </c>
      <c r="R82" s="25"/>
      <c r="S82" s="26">
        <v>3035000</v>
      </c>
      <c r="T82" s="26">
        <v>11364000</v>
      </c>
      <c r="U82" s="25"/>
      <c r="V82" s="25"/>
      <c r="W82" s="25"/>
      <c r="X82" s="25"/>
      <c r="Y82" s="27"/>
      <c r="Z82" s="19">
        <f>IFERROR(#REF!/#REF!-1,0)</f>
        <v>0</v>
      </c>
      <c r="AA82" s="19">
        <f>IFERROR(C82/C81-1,0)</f>
        <v>2.4942066557325009</v>
      </c>
      <c r="AB82" s="19">
        <f>IFERROR(#REF!/#REF!-1,0)</f>
        <v>0</v>
      </c>
    </row>
    <row r="83" spans="1:29" s="20" customFormat="1" ht="25.5" customHeight="1" x14ac:dyDescent="0.4">
      <c r="A83" s="173"/>
      <c r="B83" s="96" t="s">
        <v>56</v>
      </c>
      <c r="C83" s="22">
        <f t="shared" si="57"/>
        <v>164420988.5</v>
      </c>
      <c r="D83" s="97">
        <v>13300000</v>
      </c>
      <c r="E83" s="98">
        <v>29179000</v>
      </c>
      <c r="F83" s="98">
        <v>0</v>
      </c>
      <c r="G83" s="99">
        <v>6067000</v>
      </c>
      <c r="H83" s="100">
        <v>0</v>
      </c>
      <c r="I83" s="100">
        <v>0</v>
      </c>
      <c r="J83" s="100">
        <v>0</v>
      </c>
      <c r="K83" s="100">
        <v>0</v>
      </c>
      <c r="L83" s="98">
        <v>2519000</v>
      </c>
      <c r="M83" s="98">
        <v>11892000</v>
      </c>
      <c r="N83" s="98">
        <v>94999.500000000015</v>
      </c>
      <c r="O83" s="100"/>
      <c r="P83" s="101">
        <v>1437000</v>
      </c>
      <c r="Q83" s="102">
        <v>4490000</v>
      </c>
      <c r="R83" s="100"/>
      <c r="S83" s="102">
        <v>48380989</v>
      </c>
      <c r="T83" s="102">
        <v>47061000</v>
      </c>
      <c r="U83" s="100"/>
      <c r="V83" s="100"/>
      <c r="W83" s="100"/>
      <c r="X83" s="100"/>
      <c r="Y83" s="103"/>
      <c r="Z83" s="19"/>
      <c r="AA83" s="19"/>
      <c r="AB83" s="19"/>
    </row>
    <row r="84" spans="1:29" s="44" customFormat="1" ht="25.5" customHeight="1" x14ac:dyDescent="0.4">
      <c r="A84" s="173"/>
      <c r="B84" s="21" t="s">
        <v>33</v>
      </c>
      <c r="C84" s="22">
        <f t="shared" si="57"/>
        <v>218000250</v>
      </c>
      <c r="D84" s="23">
        <v>13420000</v>
      </c>
      <c r="E84" s="22">
        <v>23737000</v>
      </c>
      <c r="F84" s="22">
        <v>0</v>
      </c>
      <c r="G84" s="28">
        <v>9204000</v>
      </c>
      <c r="H84" s="25">
        <v>0</v>
      </c>
      <c r="I84" s="25">
        <v>0</v>
      </c>
      <c r="J84" s="25">
        <v>0</v>
      </c>
      <c r="K84" s="25">
        <v>0</v>
      </c>
      <c r="L84" s="22">
        <v>11968000</v>
      </c>
      <c r="M84" s="22">
        <v>8481000</v>
      </c>
      <c r="N84" s="22">
        <v>37000</v>
      </c>
      <c r="O84" s="25"/>
      <c r="P84" s="29">
        <v>4683000</v>
      </c>
      <c r="Q84" s="22">
        <v>60563250</v>
      </c>
      <c r="R84" s="25"/>
      <c r="S84" s="26">
        <v>41391000</v>
      </c>
      <c r="T84" s="22">
        <v>44516000</v>
      </c>
      <c r="U84" s="25"/>
      <c r="V84" s="25"/>
      <c r="W84" s="25"/>
      <c r="X84" s="25"/>
      <c r="Y84" s="27"/>
      <c r="Z84" s="43"/>
      <c r="AA84" s="43"/>
      <c r="AB84" s="43"/>
      <c r="AC84" s="20"/>
    </row>
    <row r="85" spans="1:29" s="20" customFormat="1" ht="25.5" customHeight="1" x14ac:dyDescent="0.4">
      <c r="A85" s="173"/>
      <c r="B85" s="30" t="s">
        <v>34</v>
      </c>
      <c r="C85" s="31">
        <f t="shared" si="57"/>
        <v>180437810</v>
      </c>
      <c r="D85" s="32">
        <v>12504000</v>
      </c>
      <c r="E85" s="31">
        <v>16001000</v>
      </c>
      <c r="F85" s="31">
        <v>0</v>
      </c>
      <c r="G85" s="33">
        <v>11805000</v>
      </c>
      <c r="H85" s="31">
        <v>24766000</v>
      </c>
      <c r="I85" s="34">
        <v>0</v>
      </c>
      <c r="J85" s="34">
        <v>0</v>
      </c>
      <c r="K85" s="34"/>
      <c r="L85" s="31">
        <v>10483000</v>
      </c>
      <c r="M85" s="31">
        <v>7689000</v>
      </c>
      <c r="N85" s="31">
        <v>298000</v>
      </c>
      <c r="O85" s="34"/>
      <c r="P85" s="33">
        <v>2058000</v>
      </c>
      <c r="Q85" s="34">
        <v>0</v>
      </c>
      <c r="R85" s="34"/>
      <c r="S85" s="35">
        <v>38206000</v>
      </c>
      <c r="T85" s="31">
        <v>37245000</v>
      </c>
      <c r="U85" s="34"/>
      <c r="V85" s="34"/>
      <c r="W85" s="34"/>
      <c r="X85" s="31">
        <v>19382810</v>
      </c>
      <c r="Y85" s="36"/>
      <c r="Z85" s="19"/>
      <c r="AA85" s="19"/>
      <c r="AB85" s="19"/>
    </row>
    <row r="86" spans="1:29" s="20" customFormat="1" ht="25.5" customHeight="1" x14ac:dyDescent="0.4">
      <c r="A86" s="173"/>
      <c r="B86" s="30" t="s">
        <v>57</v>
      </c>
      <c r="C86" s="31">
        <f t="shared" si="57"/>
        <v>137811860</v>
      </c>
      <c r="D86" s="32">
        <v>11489000</v>
      </c>
      <c r="E86" s="31">
        <v>13828000</v>
      </c>
      <c r="F86" s="31">
        <v>0</v>
      </c>
      <c r="G86" s="33">
        <v>8173000</v>
      </c>
      <c r="H86" s="31">
        <v>39541000</v>
      </c>
      <c r="I86" s="34">
        <v>0</v>
      </c>
      <c r="J86" s="34">
        <v>0</v>
      </c>
      <c r="K86" s="34">
        <v>0</v>
      </c>
      <c r="L86" s="31">
        <v>2810000</v>
      </c>
      <c r="M86" s="31">
        <v>7373000</v>
      </c>
      <c r="N86" s="31">
        <v>244000</v>
      </c>
      <c r="O86" s="31">
        <v>611000</v>
      </c>
      <c r="P86" s="33">
        <v>301000</v>
      </c>
      <c r="Q86" s="34">
        <v>0</v>
      </c>
      <c r="R86" s="34"/>
      <c r="S86" s="31">
        <v>32480000</v>
      </c>
      <c r="T86" s="31">
        <v>0</v>
      </c>
      <c r="U86" s="31">
        <v>8765000</v>
      </c>
      <c r="V86" s="31">
        <v>0</v>
      </c>
      <c r="W86" s="31">
        <v>0</v>
      </c>
      <c r="X86" s="31">
        <v>12196860</v>
      </c>
      <c r="Y86" s="36"/>
      <c r="Z86" s="19"/>
      <c r="AA86" s="19"/>
      <c r="AB86" s="19"/>
    </row>
    <row r="87" spans="1:29" s="44" customFormat="1" ht="25.5" customHeight="1" x14ac:dyDescent="0.4">
      <c r="A87" s="173"/>
      <c r="B87" s="37" t="s">
        <v>36</v>
      </c>
      <c r="C87" s="38">
        <f t="shared" ref="C87:C88" si="58">SUM(D87:X87)</f>
        <v>445833935</v>
      </c>
      <c r="D87" s="39">
        <v>10715000</v>
      </c>
      <c r="E87" s="38">
        <v>18066000</v>
      </c>
      <c r="F87" s="38">
        <v>0</v>
      </c>
      <c r="G87" s="40">
        <v>8000500</v>
      </c>
      <c r="H87" s="38">
        <v>36898000</v>
      </c>
      <c r="I87" s="38">
        <v>532000</v>
      </c>
      <c r="J87" s="38">
        <v>260000</v>
      </c>
      <c r="K87" s="38">
        <v>8970500</v>
      </c>
      <c r="L87" s="38">
        <v>18722000</v>
      </c>
      <c r="M87" s="38">
        <v>17417000</v>
      </c>
      <c r="N87" s="38">
        <v>262000</v>
      </c>
      <c r="O87" s="38">
        <v>498000</v>
      </c>
      <c r="P87" s="40">
        <v>828000</v>
      </c>
      <c r="Q87" s="38">
        <v>3853000</v>
      </c>
      <c r="R87" s="38">
        <v>8146000</v>
      </c>
      <c r="S87" s="38">
        <v>51402000</v>
      </c>
      <c r="T87" s="38">
        <v>51964000</v>
      </c>
      <c r="U87" s="38">
        <v>37650000</v>
      </c>
      <c r="V87" s="38">
        <v>0</v>
      </c>
      <c r="W87" s="38">
        <v>899000</v>
      </c>
      <c r="X87" s="38">
        <v>170750935</v>
      </c>
      <c r="Y87" s="42"/>
      <c r="Z87" s="43"/>
      <c r="AA87" s="43"/>
      <c r="AB87" s="43"/>
    </row>
    <row r="88" spans="1:29" s="44" customFormat="1" ht="25.5" customHeight="1" x14ac:dyDescent="0.4">
      <c r="A88" s="173"/>
      <c r="B88" s="45" t="s">
        <v>37</v>
      </c>
      <c r="C88" s="46">
        <f t="shared" si="58"/>
        <v>266000000</v>
      </c>
      <c r="D88" s="47">
        <f>ROUNDUP(D86*102%,-5)</f>
        <v>11800000</v>
      </c>
      <c r="E88" s="46">
        <f t="shared" ref="E88:J88" si="59">ROUNDUP(E86*102%,-5)</f>
        <v>14200000</v>
      </c>
      <c r="F88" s="50">
        <f>ROUNDUP(F81*102%,-5)</f>
        <v>1100000</v>
      </c>
      <c r="G88" s="48">
        <f>ROUNDUP(G86*104%,-5)</f>
        <v>8500000</v>
      </c>
      <c r="H88" s="46">
        <f>ROUNDUP(H86*105%,-5)</f>
        <v>41600000</v>
      </c>
      <c r="I88" s="46">
        <f t="shared" si="59"/>
        <v>0</v>
      </c>
      <c r="J88" s="46">
        <f t="shared" si="59"/>
        <v>0</v>
      </c>
      <c r="K88" s="46">
        <f>ROUNDUP(K80*70%,-5)</f>
        <v>12500000</v>
      </c>
      <c r="L88" s="50">
        <f>ROUNDUP(L86*250%,-5)</f>
        <v>7100000</v>
      </c>
      <c r="M88" s="50">
        <f>ROUNDUP(M86*250%,-5)</f>
        <v>18500000</v>
      </c>
      <c r="N88" s="46">
        <f t="shared" ref="N88:Q88" si="60">ROUNDUP(N86*102%,-5)</f>
        <v>300000</v>
      </c>
      <c r="O88" s="46">
        <f t="shared" si="60"/>
        <v>700000</v>
      </c>
      <c r="P88" s="48">
        <f t="shared" si="60"/>
        <v>400000</v>
      </c>
      <c r="Q88" s="46">
        <f t="shared" si="60"/>
        <v>0</v>
      </c>
      <c r="R88" s="50">
        <v>7000000</v>
      </c>
      <c r="S88" s="50">
        <f>ROUNDUP(S86*130%,-5)</f>
        <v>42300000</v>
      </c>
      <c r="T88" s="50">
        <f>ROUNDUP(T85*150%,-5)</f>
        <v>55900000</v>
      </c>
      <c r="U88" s="50">
        <f>ROUNDUP(U86*350%,-5)</f>
        <v>30700000</v>
      </c>
      <c r="V88" s="50">
        <f>ROUNDUP(V86*350%,-5)</f>
        <v>0</v>
      </c>
      <c r="W88" s="50">
        <v>500000</v>
      </c>
      <c r="X88" s="46">
        <f>ROUNDUP(X86*105%,-5)</f>
        <v>12900000</v>
      </c>
      <c r="Y88" s="51" t="s">
        <v>38</v>
      </c>
      <c r="Z88" s="43"/>
      <c r="AA88" s="43">
        <f>D88/D80</f>
        <v>0.49240938415443292</v>
      </c>
      <c r="AB88" s="43"/>
    </row>
    <row r="89" spans="1:29" s="59" customFormat="1" ht="25.5" customHeight="1" x14ac:dyDescent="0.4">
      <c r="A89" s="173"/>
      <c r="B89" s="12" t="s">
        <v>39</v>
      </c>
      <c r="C89" s="52">
        <f>SUM(D89:X89)</f>
        <v>293300335</v>
      </c>
      <c r="D89" s="53">
        <f>D87-D80</f>
        <v>-13248800</v>
      </c>
      <c r="E89" s="52">
        <f t="shared" ref="E89:X89" si="61">E87-E80</f>
        <v>-18079000</v>
      </c>
      <c r="F89" s="54">
        <f t="shared" si="61"/>
        <v>0</v>
      </c>
      <c r="G89" s="55">
        <f t="shared" si="61"/>
        <v>8000500</v>
      </c>
      <c r="H89" s="54">
        <f t="shared" si="61"/>
        <v>36898000</v>
      </c>
      <c r="I89" s="52">
        <f t="shared" si="61"/>
        <v>-8715800</v>
      </c>
      <c r="J89" s="52">
        <f t="shared" si="61"/>
        <v>260000</v>
      </c>
      <c r="K89" s="56">
        <f t="shared" si="61"/>
        <v>-8817500</v>
      </c>
      <c r="L89" s="52">
        <f t="shared" si="61"/>
        <v>11285000</v>
      </c>
      <c r="M89" s="52">
        <f t="shared" si="61"/>
        <v>10326000</v>
      </c>
      <c r="N89" s="52">
        <f t="shared" si="61"/>
        <v>262000</v>
      </c>
      <c r="O89" s="54">
        <f t="shared" si="61"/>
        <v>498000</v>
      </c>
      <c r="P89" s="55">
        <f t="shared" si="61"/>
        <v>828000</v>
      </c>
      <c r="Q89" s="56">
        <f t="shared" si="61"/>
        <v>-25028000</v>
      </c>
      <c r="R89" s="54">
        <f t="shared" si="61"/>
        <v>8146000</v>
      </c>
      <c r="S89" s="56">
        <f t="shared" si="61"/>
        <v>29422000</v>
      </c>
      <c r="T89" s="56">
        <f t="shared" si="61"/>
        <v>51964000</v>
      </c>
      <c r="U89" s="54">
        <f t="shared" si="61"/>
        <v>37650000</v>
      </c>
      <c r="V89" s="54">
        <f t="shared" si="61"/>
        <v>0</v>
      </c>
      <c r="W89" s="54">
        <f t="shared" si="61"/>
        <v>899000</v>
      </c>
      <c r="X89" s="54">
        <f t="shared" si="61"/>
        <v>170750935</v>
      </c>
      <c r="Y89" s="57"/>
      <c r="Z89" s="58"/>
      <c r="AA89" s="58"/>
      <c r="AB89" s="58"/>
    </row>
    <row r="90" spans="1:29" s="20" customFormat="1" ht="25.5" customHeight="1" x14ac:dyDescent="0.4">
      <c r="A90" s="173"/>
      <c r="B90" s="21" t="s">
        <v>40</v>
      </c>
      <c r="C90" s="60">
        <f>IFERROR(C86/C80,0)</f>
        <v>0.90348526488590053</v>
      </c>
      <c r="D90" s="61">
        <f>IFERROR(D87/D80,0)</f>
        <v>0.44713275857752111</v>
      </c>
      <c r="E90" s="60">
        <f t="shared" ref="E90:X90" si="62">IFERROR(E87/E80,0)</f>
        <v>0.49982016876469776</v>
      </c>
      <c r="F90" s="62">
        <f t="shared" si="62"/>
        <v>0</v>
      </c>
      <c r="G90" s="63">
        <f t="shared" si="62"/>
        <v>0</v>
      </c>
      <c r="H90" s="62">
        <f t="shared" si="62"/>
        <v>0</v>
      </c>
      <c r="I90" s="60">
        <f t="shared" si="62"/>
        <v>5.7527195657345528E-2</v>
      </c>
      <c r="J90" s="60">
        <f t="shared" si="62"/>
        <v>0</v>
      </c>
      <c r="K90" s="64">
        <f t="shared" si="62"/>
        <v>0.50430065212502806</v>
      </c>
      <c r="L90" s="60">
        <f t="shared" si="62"/>
        <v>2.5174129353233829</v>
      </c>
      <c r="M90" s="60">
        <f t="shared" si="62"/>
        <v>2.456212099844874</v>
      </c>
      <c r="N90" s="60">
        <f t="shared" si="62"/>
        <v>0</v>
      </c>
      <c r="O90" s="62">
        <f t="shared" si="62"/>
        <v>0</v>
      </c>
      <c r="P90" s="63">
        <f t="shared" si="62"/>
        <v>0</v>
      </c>
      <c r="Q90" s="64">
        <f t="shared" si="62"/>
        <v>0.13340950798102558</v>
      </c>
      <c r="R90" s="62">
        <f t="shared" si="62"/>
        <v>0</v>
      </c>
      <c r="S90" s="64">
        <f t="shared" si="62"/>
        <v>2.3385805277525025</v>
      </c>
      <c r="T90" s="64">
        <f t="shared" si="62"/>
        <v>0</v>
      </c>
      <c r="U90" s="62">
        <f t="shared" si="62"/>
        <v>0</v>
      </c>
      <c r="V90" s="62">
        <f t="shared" si="62"/>
        <v>0</v>
      </c>
      <c r="W90" s="62">
        <f t="shared" si="62"/>
        <v>0</v>
      </c>
      <c r="X90" s="62">
        <f t="shared" si="62"/>
        <v>0</v>
      </c>
      <c r="Y90" s="65"/>
      <c r="Z90" s="19"/>
      <c r="AA90" s="19"/>
      <c r="AB90" s="19"/>
    </row>
    <row r="91" spans="1:29" s="59" customFormat="1" ht="25.5" customHeight="1" x14ac:dyDescent="0.4">
      <c r="A91" s="173"/>
      <c r="B91" s="21" t="s">
        <v>41</v>
      </c>
      <c r="C91" s="66">
        <f>SUM(D91:X91)</f>
        <v>436383435</v>
      </c>
      <c r="D91" s="67">
        <f>D87-D81</f>
        <v>10243000</v>
      </c>
      <c r="E91" s="66">
        <f t="shared" ref="E91:X91" si="63">E87-E81</f>
        <v>17585500</v>
      </c>
      <c r="F91" s="66">
        <f t="shared" si="63"/>
        <v>-1019000</v>
      </c>
      <c r="G91" s="68">
        <f t="shared" si="63"/>
        <v>8000500</v>
      </c>
      <c r="H91" s="69">
        <f t="shared" si="63"/>
        <v>36898000</v>
      </c>
      <c r="I91" s="66">
        <f t="shared" si="63"/>
        <v>532000</v>
      </c>
      <c r="J91" s="69">
        <f t="shared" si="63"/>
        <v>260000</v>
      </c>
      <c r="K91" s="70">
        <f t="shared" si="63"/>
        <v>8970500</v>
      </c>
      <c r="L91" s="66">
        <f t="shared" si="63"/>
        <v>16899000</v>
      </c>
      <c r="M91" s="66">
        <f t="shared" si="63"/>
        <v>13490000</v>
      </c>
      <c r="N91" s="66">
        <f t="shared" si="63"/>
        <v>262000</v>
      </c>
      <c r="O91" s="69">
        <f t="shared" si="63"/>
        <v>498000</v>
      </c>
      <c r="P91" s="68">
        <f t="shared" si="63"/>
        <v>828000</v>
      </c>
      <c r="Q91" s="70">
        <f t="shared" si="63"/>
        <v>3853000</v>
      </c>
      <c r="R91" s="69">
        <f t="shared" si="63"/>
        <v>8146000</v>
      </c>
      <c r="S91" s="70">
        <f t="shared" si="63"/>
        <v>50341000</v>
      </c>
      <c r="T91" s="70">
        <f t="shared" si="63"/>
        <v>51296000</v>
      </c>
      <c r="U91" s="69">
        <f t="shared" si="63"/>
        <v>37650000</v>
      </c>
      <c r="V91" s="69">
        <f t="shared" si="63"/>
        <v>0</v>
      </c>
      <c r="W91" s="69">
        <f t="shared" si="63"/>
        <v>899000</v>
      </c>
      <c r="X91" s="69">
        <f t="shared" si="63"/>
        <v>170750935</v>
      </c>
      <c r="Y91" s="27"/>
      <c r="Z91" s="58"/>
      <c r="AA91" s="58"/>
      <c r="AB91" s="58"/>
    </row>
    <row r="92" spans="1:29" s="20" customFormat="1" ht="25.5" customHeight="1" x14ac:dyDescent="0.4">
      <c r="A92" s="173"/>
      <c r="B92" s="21" t="s">
        <v>42</v>
      </c>
      <c r="C92" s="60">
        <f>IFERROR(C86/C81,0)</f>
        <v>14.582494047933972</v>
      </c>
      <c r="D92" s="61">
        <f>IFERROR(D87/D81,0)</f>
        <v>22.701271186440678</v>
      </c>
      <c r="E92" s="60">
        <f t="shared" ref="E92:X92" si="64">IFERROR(E87/E81,0)</f>
        <v>37.598335067637876</v>
      </c>
      <c r="F92" s="60">
        <f t="shared" si="64"/>
        <v>0</v>
      </c>
      <c r="G92" s="63">
        <f t="shared" si="64"/>
        <v>0</v>
      </c>
      <c r="H92" s="62">
        <f t="shared" si="64"/>
        <v>0</v>
      </c>
      <c r="I92" s="60">
        <f t="shared" si="64"/>
        <v>0</v>
      </c>
      <c r="J92" s="62">
        <f t="shared" si="64"/>
        <v>0</v>
      </c>
      <c r="K92" s="64">
        <f t="shared" si="64"/>
        <v>0</v>
      </c>
      <c r="L92" s="60">
        <f t="shared" si="64"/>
        <v>10.269884805266045</v>
      </c>
      <c r="M92" s="60">
        <f t="shared" si="64"/>
        <v>4.4351922587216706</v>
      </c>
      <c r="N92" s="60">
        <f t="shared" si="64"/>
        <v>0</v>
      </c>
      <c r="O92" s="62">
        <f t="shared" si="64"/>
        <v>0</v>
      </c>
      <c r="P92" s="63">
        <f t="shared" si="64"/>
        <v>0</v>
      </c>
      <c r="Q92" s="64">
        <f t="shared" si="64"/>
        <v>0</v>
      </c>
      <c r="R92" s="62">
        <f t="shared" si="64"/>
        <v>0</v>
      </c>
      <c r="S92" s="64">
        <f t="shared" si="64"/>
        <v>48.44674835061263</v>
      </c>
      <c r="T92" s="64">
        <f t="shared" si="64"/>
        <v>77.790419161676652</v>
      </c>
      <c r="U92" s="62">
        <f t="shared" si="64"/>
        <v>0</v>
      </c>
      <c r="V92" s="62">
        <f t="shared" si="64"/>
        <v>0</v>
      </c>
      <c r="W92" s="62">
        <f t="shared" si="64"/>
        <v>0</v>
      </c>
      <c r="X92" s="62">
        <f t="shared" si="64"/>
        <v>0</v>
      </c>
      <c r="Y92" s="65"/>
      <c r="Z92" s="19"/>
      <c r="AA92" s="19"/>
      <c r="AB92" s="19"/>
    </row>
    <row r="93" spans="1:29" s="59" customFormat="1" ht="25.5" customHeight="1" x14ac:dyDescent="0.4">
      <c r="A93" s="173"/>
      <c r="B93" s="21" t="s">
        <v>43</v>
      </c>
      <c r="C93" s="66">
        <f>SUM(D93:X93)</f>
        <v>412811935</v>
      </c>
      <c r="D93" s="67">
        <f>D87-D82</f>
        <v>9925000</v>
      </c>
      <c r="E93" s="66">
        <f t="shared" ref="E93:X93" si="65">E87-E82</f>
        <v>18066000</v>
      </c>
      <c r="F93" s="66">
        <f t="shared" si="65"/>
        <v>0</v>
      </c>
      <c r="G93" s="71">
        <f t="shared" si="65"/>
        <v>8000500</v>
      </c>
      <c r="H93" s="69">
        <f t="shared" si="65"/>
        <v>36898000</v>
      </c>
      <c r="I93" s="66">
        <f t="shared" si="65"/>
        <v>-4890000</v>
      </c>
      <c r="J93" s="69">
        <f t="shared" si="65"/>
        <v>260000</v>
      </c>
      <c r="K93" s="25">
        <f t="shared" si="65"/>
        <v>8970500</v>
      </c>
      <c r="L93" s="66">
        <f t="shared" si="65"/>
        <v>14689000</v>
      </c>
      <c r="M93" s="66">
        <f t="shared" si="65"/>
        <v>9039000</v>
      </c>
      <c r="N93" s="66">
        <f t="shared" si="65"/>
        <v>262000</v>
      </c>
      <c r="O93" s="69">
        <f t="shared" si="65"/>
        <v>498000</v>
      </c>
      <c r="P93" s="72">
        <f t="shared" si="65"/>
        <v>828000</v>
      </c>
      <c r="Q93" s="70">
        <f t="shared" si="65"/>
        <v>3853000</v>
      </c>
      <c r="R93" s="69">
        <f t="shared" si="65"/>
        <v>8146000</v>
      </c>
      <c r="S93" s="70">
        <f t="shared" si="65"/>
        <v>48367000</v>
      </c>
      <c r="T93" s="70">
        <f t="shared" si="65"/>
        <v>40600000</v>
      </c>
      <c r="U93" s="69">
        <f t="shared" si="65"/>
        <v>37650000</v>
      </c>
      <c r="V93" s="69">
        <f t="shared" si="65"/>
        <v>0</v>
      </c>
      <c r="W93" s="69">
        <f t="shared" si="65"/>
        <v>899000</v>
      </c>
      <c r="X93" s="69">
        <f t="shared" si="65"/>
        <v>170750935</v>
      </c>
      <c r="Y93" s="27"/>
      <c r="Z93" s="58"/>
      <c r="AA93" s="58"/>
      <c r="AB93" s="58"/>
    </row>
    <row r="94" spans="1:29" s="20" customFormat="1" ht="25.5" customHeight="1" x14ac:dyDescent="0.4">
      <c r="A94" s="173"/>
      <c r="B94" s="21" t="s">
        <v>44</v>
      </c>
      <c r="C94" s="60">
        <f>IFERROR(C86/C82,0)</f>
        <v>4.1733347465326149</v>
      </c>
      <c r="D94" s="61">
        <f>IFERROR(D87/D82,0)</f>
        <v>13.563291139240507</v>
      </c>
      <c r="E94" s="60">
        <f t="shared" ref="E94:X94" si="66">IFERROR(E87/E82,0)</f>
        <v>0</v>
      </c>
      <c r="F94" s="60">
        <f t="shared" si="66"/>
        <v>0</v>
      </c>
      <c r="G94" s="73">
        <f t="shared" si="66"/>
        <v>0</v>
      </c>
      <c r="H94" s="62">
        <f t="shared" si="66"/>
        <v>0</v>
      </c>
      <c r="I94" s="60">
        <f t="shared" si="66"/>
        <v>9.8118775359645888E-2</v>
      </c>
      <c r="J94" s="62">
        <f t="shared" si="66"/>
        <v>0</v>
      </c>
      <c r="K94" s="62">
        <f t="shared" si="66"/>
        <v>0</v>
      </c>
      <c r="L94" s="60">
        <f t="shared" si="66"/>
        <v>4.6422018348623855</v>
      </c>
      <c r="M94" s="60">
        <f t="shared" si="66"/>
        <v>2.0788971114824539</v>
      </c>
      <c r="N94" s="60">
        <f t="shared" si="66"/>
        <v>0</v>
      </c>
      <c r="O94" s="62">
        <f t="shared" si="66"/>
        <v>0</v>
      </c>
      <c r="P94" s="74">
        <f t="shared" si="66"/>
        <v>0</v>
      </c>
      <c r="Q94" s="64">
        <f t="shared" si="66"/>
        <v>0</v>
      </c>
      <c r="R94" s="62">
        <f t="shared" si="66"/>
        <v>0</v>
      </c>
      <c r="S94" s="64">
        <f t="shared" si="66"/>
        <v>16.936408566721582</v>
      </c>
      <c r="T94" s="64">
        <f t="shared" si="66"/>
        <v>4.5726856740584303</v>
      </c>
      <c r="U94" s="62">
        <f t="shared" si="66"/>
        <v>0</v>
      </c>
      <c r="V94" s="62">
        <f t="shared" si="66"/>
        <v>0</v>
      </c>
      <c r="W94" s="62">
        <f t="shared" si="66"/>
        <v>0</v>
      </c>
      <c r="X94" s="62">
        <f t="shared" si="66"/>
        <v>0</v>
      </c>
      <c r="Y94" s="65"/>
      <c r="Z94" s="19"/>
      <c r="AA94" s="19"/>
      <c r="AB94" s="19"/>
    </row>
    <row r="95" spans="1:29" s="59" customFormat="1" ht="25.5" customHeight="1" x14ac:dyDescent="0.4">
      <c r="A95" s="173"/>
      <c r="B95" s="21" t="s">
        <v>45</v>
      </c>
      <c r="C95" s="66">
        <f>SUM(D95:X95)</f>
        <v>281412946.5</v>
      </c>
      <c r="D95" s="67">
        <f>D87-D83</f>
        <v>-2585000</v>
      </c>
      <c r="E95" s="66">
        <f t="shared" ref="E95:X95" si="67">E87-E83</f>
        <v>-11113000</v>
      </c>
      <c r="F95" s="66">
        <f t="shared" si="67"/>
        <v>0</v>
      </c>
      <c r="G95" s="71">
        <f t="shared" si="67"/>
        <v>1933500</v>
      </c>
      <c r="H95" s="69">
        <f t="shared" si="67"/>
        <v>36898000</v>
      </c>
      <c r="I95" s="66">
        <f t="shared" si="67"/>
        <v>532000</v>
      </c>
      <c r="J95" s="69">
        <f t="shared" si="67"/>
        <v>260000</v>
      </c>
      <c r="K95" s="25">
        <f t="shared" si="67"/>
        <v>8970500</v>
      </c>
      <c r="L95" s="66">
        <f t="shared" si="67"/>
        <v>16203000</v>
      </c>
      <c r="M95" s="66">
        <f t="shared" si="67"/>
        <v>5525000</v>
      </c>
      <c r="N95" s="66">
        <f t="shared" si="67"/>
        <v>167000.5</v>
      </c>
      <c r="O95" s="69">
        <f t="shared" si="67"/>
        <v>498000</v>
      </c>
      <c r="P95" s="72">
        <f t="shared" si="67"/>
        <v>-609000</v>
      </c>
      <c r="Q95" s="70">
        <f t="shared" si="67"/>
        <v>-637000</v>
      </c>
      <c r="R95" s="69">
        <f t="shared" si="67"/>
        <v>8146000</v>
      </c>
      <c r="S95" s="70">
        <f t="shared" si="67"/>
        <v>3021011</v>
      </c>
      <c r="T95" s="70">
        <f t="shared" si="67"/>
        <v>4903000</v>
      </c>
      <c r="U95" s="69">
        <f t="shared" si="67"/>
        <v>37650000</v>
      </c>
      <c r="V95" s="69">
        <f t="shared" si="67"/>
        <v>0</v>
      </c>
      <c r="W95" s="69">
        <f t="shared" si="67"/>
        <v>899000</v>
      </c>
      <c r="X95" s="69">
        <f t="shared" si="67"/>
        <v>170750935</v>
      </c>
      <c r="Y95" s="27"/>
      <c r="Z95" s="58"/>
      <c r="AA95" s="58"/>
      <c r="AB95" s="58"/>
    </row>
    <row r="96" spans="1:29" s="20" customFormat="1" ht="25.5" customHeight="1" x14ac:dyDescent="0.4">
      <c r="A96" s="173"/>
      <c r="B96" s="21" t="s">
        <v>46</v>
      </c>
      <c r="C96" s="60">
        <f>IFERROR(C86/C83,0)</f>
        <v>0.83816464830461712</v>
      </c>
      <c r="D96" s="61">
        <f>IFERROR(D87/D83,0)</f>
        <v>0.80563909774436093</v>
      </c>
      <c r="E96" s="60">
        <f t="shared" ref="E96:X96" si="68">IFERROR(E87/E83,0)</f>
        <v>0.61914390486308646</v>
      </c>
      <c r="F96" s="60">
        <f t="shared" si="68"/>
        <v>0</v>
      </c>
      <c r="G96" s="73">
        <f t="shared" si="68"/>
        <v>1.3186912806988627</v>
      </c>
      <c r="H96" s="62">
        <f t="shared" si="68"/>
        <v>0</v>
      </c>
      <c r="I96" s="60">
        <f t="shared" si="68"/>
        <v>0</v>
      </c>
      <c r="J96" s="62">
        <f t="shared" si="68"/>
        <v>0</v>
      </c>
      <c r="K96" s="62">
        <f t="shared" si="68"/>
        <v>0</v>
      </c>
      <c r="L96" s="60">
        <f t="shared" si="68"/>
        <v>7.4323144104803491</v>
      </c>
      <c r="M96" s="60">
        <f t="shared" si="68"/>
        <v>1.4645980491086446</v>
      </c>
      <c r="N96" s="60">
        <f t="shared" si="68"/>
        <v>2.7579092521539583</v>
      </c>
      <c r="O96" s="62">
        <f t="shared" si="68"/>
        <v>0</v>
      </c>
      <c r="P96" s="74">
        <f t="shared" si="68"/>
        <v>0.57620041753653439</v>
      </c>
      <c r="Q96" s="64">
        <f t="shared" si="68"/>
        <v>0.85812917594654792</v>
      </c>
      <c r="R96" s="62">
        <f t="shared" si="68"/>
        <v>0</v>
      </c>
      <c r="S96" s="64">
        <f t="shared" si="68"/>
        <v>1.0624421092342697</v>
      </c>
      <c r="T96" s="64">
        <f t="shared" si="68"/>
        <v>1.1041839314931685</v>
      </c>
      <c r="U96" s="62">
        <f t="shared" si="68"/>
        <v>0</v>
      </c>
      <c r="V96" s="62">
        <f t="shared" si="68"/>
        <v>0</v>
      </c>
      <c r="W96" s="62">
        <f t="shared" si="68"/>
        <v>0</v>
      </c>
      <c r="X96" s="62">
        <f t="shared" si="68"/>
        <v>0</v>
      </c>
      <c r="Y96" s="65"/>
      <c r="Z96" s="19"/>
      <c r="AA96" s="19"/>
      <c r="AB96" s="19"/>
    </row>
    <row r="97" spans="1:29" s="59" customFormat="1" ht="25.5" customHeight="1" x14ac:dyDescent="0.4">
      <c r="A97" s="173"/>
      <c r="B97" s="21" t="s">
        <v>47</v>
      </c>
      <c r="C97" s="66">
        <f>SUM(D97:X97)</f>
        <v>227833685</v>
      </c>
      <c r="D97" s="67">
        <f>D87-D84</f>
        <v>-2705000</v>
      </c>
      <c r="E97" s="66">
        <f t="shared" ref="E97:X97" si="69">E87-E84</f>
        <v>-5671000</v>
      </c>
      <c r="F97" s="66">
        <f t="shared" si="69"/>
        <v>0</v>
      </c>
      <c r="G97" s="71">
        <f t="shared" si="69"/>
        <v>-1203500</v>
      </c>
      <c r="H97" s="69">
        <f t="shared" si="69"/>
        <v>36898000</v>
      </c>
      <c r="I97" s="69">
        <f t="shared" si="69"/>
        <v>532000</v>
      </c>
      <c r="J97" s="69">
        <f t="shared" si="69"/>
        <v>260000</v>
      </c>
      <c r="K97" s="25">
        <f t="shared" si="69"/>
        <v>8970500</v>
      </c>
      <c r="L97" s="66">
        <f t="shared" si="69"/>
        <v>6754000</v>
      </c>
      <c r="M97" s="66">
        <f t="shared" si="69"/>
        <v>8936000</v>
      </c>
      <c r="N97" s="66">
        <f t="shared" si="69"/>
        <v>225000</v>
      </c>
      <c r="O97" s="69">
        <f t="shared" si="69"/>
        <v>498000</v>
      </c>
      <c r="P97" s="72">
        <f t="shared" si="69"/>
        <v>-3855000</v>
      </c>
      <c r="Q97" s="66">
        <f t="shared" si="69"/>
        <v>-56710250</v>
      </c>
      <c r="R97" s="69">
        <f t="shared" si="69"/>
        <v>8146000</v>
      </c>
      <c r="S97" s="70">
        <f t="shared" si="69"/>
        <v>10011000</v>
      </c>
      <c r="T97" s="66">
        <f t="shared" si="69"/>
        <v>7448000</v>
      </c>
      <c r="U97" s="69">
        <f t="shared" si="69"/>
        <v>37650000</v>
      </c>
      <c r="V97" s="69">
        <f t="shared" si="69"/>
        <v>0</v>
      </c>
      <c r="W97" s="69">
        <f t="shared" si="69"/>
        <v>899000</v>
      </c>
      <c r="X97" s="69">
        <f t="shared" si="69"/>
        <v>170750935</v>
      </c>
      <c r="Y97" s="27"/>
      <c r="Z97" s="58"/>
      <c r="AA97" s="58"/>
      <c r="AB97" s="58"/>
    </row>
    <row r="98" spans="1:29" s="20" customFormat="1" ht="25.5" customHeight="1" x14ac:dyDescent="0.4">
      <c r="A98" s="173"/>
      <c r="B98" s="21" t="s">
        <v>48</v>
      </c>
      <c r="C98" s="60">
        <f>IFERROR(C86/C84,0)</f>
        <v>0.63216377045439165</v>
      </c>
      <c r="D98" s="61">
        <f>IFERROR(D87/D84,0)</f>
        <v>0.79843517138599107</v>
      </c>
      <c r="E98" s="60">
        <f t="shared" ref="E98:X98" si="70">IFERROR(E87/E84,0)</f>
        <v>0.76109028099591358</v>
      </c>
      <c r="F98" s="60">
        <f t="shared" si="70"/>
        <v>0</v>
      </c>
      <c r="G98" s="73">
        <f t="shared" si="70"/>
        <v>0.8692416340721425</v>
      </c>
      <c r="H98" s="62">
        <f t="shared" si="70"/>
        <v>0</v>
      </c>
      <c r="I98" s="62">
        <f t="shared" si="70"/>
        <v>0</v>
      </c>
      <c r="J98" s="62">
        <f t="shared" si="70"/>
        <v>0</v>
      </c>
      <c r="K98" s="62">
        <f t="shared" si="70"/>
        <v>0</v>
      </c>
      <c r="L98" s="60">
        <f t="shared" si="70"/>
        <v>1.5643382352941178</v>
      </c>
      <c r="M98" s="60">
        <f t="shared" si="70"/>
        <v>2.0536493338049757</v>
      </c>
      <c r="N98" s="60">
        <f t="shared" si="70"/>
        <v>7.0810810810810807</v>
      </c>
      <c r="O98" s="62">
        <f t="shared" si="70"/>
        <v>0</v>
      </c>
      <c r="P98" s="74">
        <f t="shared" si="70"/>
        <v>0.17680973734785393</v>
      </c>
      <c r="Q98" s="60">
        <f t="shared" si="70"/>
        <v>6.3619439181351725E-2</v>
      </c>
      <c r="R98" s="62">
        <f t="shared" si="70"/>
        <v>0</v>
      </c>
      <c r="S98" s="64">
        <f t="shared" si="70"/>
        <v>1.2418641733710227</v>
      </c>
      <c r="T98" s="60">
        <f t="shared" si="70"/>
        <v>1.1673106298858837</v>
      </c>
      <c r="U98" s="62">
        <f t="shared" si="70"/>
        <v>0</v>
      </c>
      <c r="V98" s="62">
        <f t="shared" si="70"/>
        <v>0</v>
      </c>
      <c r="W98" s="62">
        <f t="shared" si="70"/>
        <v>0</v>
      </c>
      <c r="X98" s="62">
        <f t="shared" si="70"/>
        <v>0</v>
      </c>
      <c r="Y98" s="65"/>
      <c r="Z98" s="19"/>
      <c r="AA98" s="19"/>
      <c r="AB98" s="19"/>
    </row>
    <row r="99" spans="1:29" s="20" customFormat="1" ht="25.5" customHeight="1" x14ac:dyDescent="0.4">
      <c r="A99" s="173"/>
      <c r="B99" s="21" t="s">
        <v>49</v>
      </c>
      <c r="C99" s="66">
        <f>SUM(D99:X99)</f>
        <v>265396125</v>
      </c>
      <c r="D99" s="67">
        <f>D87-D85</f>
        <v>-1789000</v>
      </c>
      <c r="E99" s="66">
        <f t="shared" ref="E99:X99" si="71">E87-E85</f>
        <v>2065000</v>
      </c>
      <c r="F99" s="66">
        <f t="shared" si="71"/>
        <v>0</v>
      </c>
      <c r="G99" s="71">
        <f t="shared" si="71"/>
        <v>-3804500</v>
      </c>
      <c r="H99" s="66">
        <f t="shared" si="71"/>
        <v>12132000</v>
      </c>
      <c r="I99" s="69">
        <f t="shared" si="71"/>
        <v>532000</v>
      </c>
      <c r="J99" s="69">
        <f t="shared" si="71"/>
        <v>260000</v>
      </c>
      <c r="K99" s="25">
        <f t="shared" si="71"/>
        <v>8970500</v>
      </c>
      <c r="L99" s="66">
        <f t="shared" si="71"/>
        <v>8239000</v>
      </c>
      <c r="M99" s="66">
        <f t="shared" si="71"/>
        <v>9728000</v>
      </c>
      <c r="N99" s="66">
        <f t="shared" si="71"/>
        <v>-36000</v>
      </c>
      <c r="O99" s="69">
        <f t="shared" si="71"/>
        <v>498000</v>
      </c>
      <c r="P99" s="71">
        <f t="shared" si="71"/>
        <v>-1230000</v>
      </c>
      <c r="Q99" s="69">
        <f t="shared" si="71"/>
        <v>3853000</v>
      </c>
      <c r="R99" s="69">
        <f t="shared" si="71"/>
        <v>8146000</v>
      </c>
      <c r="S99" s="70">
        <f t="shared" si="71"/>
        <v>13196000</v>
      </c>
      <c r="T99" s="66">
        <f t="shared" si="71"/>
        <v>14719000</v>
      </c>
      <c r="U99" s="69">
        <f t="shared" si="71"/>
        <v>37650000</v>
      </c>
      <c r="V99" s="69">
        <f t="shared" si="71"/>
        <v>0</v>
      </c>
      <c r="W99" s="69">
        <f t="shared" si="71"/>
        <v>899000</v>
      </c>
      <c r="X99" s="66">
        <f t="shared" si="71"/>
        <v>151368125</v>
      </c>
      <c r="Y99" s="27"/>
      <c r="Z99" s="19"/>
      <c r="AA99" s="19"/>
      <c r="AB99" s="19"/>
    </row>
    <row r="100" spans="1:29" s="20" customFormat="1" ht="25.5" customHeight="1" x14ac:dyDescent="0.4">
      <c r="A100" s="173"/>
      <c r="B100" s="21" t="s">
        <v>50</v>
      </c>
      <c r="C100" s="60">
        <f>IFERROR(C86/C85,0)</f>
        <v>0.76376375882637904</v>
      </c>
      <c r="D100" s="61">
        <f>IFERROR(D87/D85,0)</f>
        <v>0.85692578374920025</v>
      </c>
      <c r="E100" s="60">
        <f t="shared" ref="E100:X100" si="72">IFERROR(E87/E85,0)</f>
        <v>1.129054434097869</v>
      </c>
      <c r="F100" s="60">
        <f t="shared" si="72"/>
        <v>0</v>
      </c>
      <c r="G100" s="73">
        <f t="shared" si="72"/>
        <v>0.67772130453197799</v>
      </c>
      <c r="H100" s="60">
        <f t="shared" si="72"/>
        <v>1.4898651376887668</v>
      </c>
      <c r="I100" s="62">
        <f t="shared" si="72"/>
        <v>0</v>
      </c>
      <c r="J100" s="62">
        <f t="shared" si="72"/>
        <v>0</v>
      </c>
      <c r="K100" s="62">
        <f t="shared" si="72"/>
        <v>0</v>
      </c>
      <c r="L100" s="60">
        <f t="shared" si="72"/>
        <v>1.7859391395592865</v>
      </c>
      <c r="M100" s="60">
        <f t="shared" si="72"/>
        <v>2.2651840291325271</v>
      </c>
      <c r="N100" s="60">
        <f t="shared" si="72"/>
        <v>0.87919463087248317</v>
      </c>
      <c r="O100" s="62">
        <f t="shared" si="72"/>
        <v>0</v>
      </c>
      <c r="P100" s="73">
        <f t="shared" si="72"/>
        <v>0.40233236151603496</v>
      </c>
      <c r="Q100" s="62">
        <f t="shared" si="72"/>
        <v>0</v>
      </c>
      <c r="R100" s="62">
        <f t="shared" si="72"/>
        <v>0</v>
      </c>
      <c r="S100" s="64">
        <f t="shared" si="72"/>
        <v>1.3453907763178559</v>
      </c>
      <c r="T100" s="60">
        <f t="shared" si="72"/>
        <v>1.3951939857699021</v>
      </c>
      <c r="U100" s="62">
        <f t="shared" si="72"/>
        <v>0</v>
      </c>
      <c r="V100" s="62">
        <f t="shared" si="72"/>
        <v>0</v>
      </c>
      <c r="W100" s="62">
        <f t="shared" si="72"/>
        <v>0</v>
      </c>
      <c r="X100" s="60">
        <f t="shared" si="72"/>
        <v>8.809400442969828</v>
      </c>
      <c r="Y100" s="65"/>
      <c r="Z100" s="19"/>
      <c r="AA100" s="19"/>
      <c r="AB100" s="19"/>
    </row>
    <row r="101" spans="1:29" s="20" customFormat="1" ht="25.5" customHeight="1" x14ac:dyDescent="0.4">
      <c r="A101" s="173"/>
      <c r="B101" s="21" t="s">
        <v>51</v>
      </c>
      <c r="C101" s="66">
        <f>SUM(D101:X101)</f>
        <v>308022075</v>
      </c>
      <c r="D101" s="67">
        <f>D87-D86</f>
        <v>-774000</v>
      </c>
      <c r="E101" s="66">
        <f t="shared" ref="E101:X101" si="73">E87-E86</f>
        <v>4238000</v>
      </c>
      <c r="F101" s="66">
        <f t="shared" si="73"/>
        <v>0</v>
      </c>
      <c r="G101" s="71">
        <f t="shared" si="73"/>
        <v>-172500</v>
      </c>
      <c r="H101" s="66">
        <f t="shared" si="73"/>
        <v>-2643000</v>
      </c>
      <c r="I101" s="69">
        <f t="shared" si="73"/>
        <v>532000</v>
      </c>
      <c r="J101" s="69">
        <f t="shared" si="73"/>
        <v>260000</v>
      </c>
      <c r="K101" s="22">
        <f t="shared" si="73"/>
        <v>8970500</v>
      </c>
      <c r="L101" s="66">
        <f t="shared" si="73"/>
        <v>15912000</v>
      </c>
      <c r="M101" s="66">
        <f t="shared" si="73"/>
        <v>10044000</v>
      </c>
      <c r="N101" s="66">
        <f t="shared" si="73"/>
        <v>18000</v>
      </c>
      <c r="O101" s="69">
        <f t="shared" si="73"/>
        <v>-113000</v>
      </c>
      <c r="P101" s="71">
        <f t="shared" si="73"/>
        <v>527000</v>
      </c>
      <c r="Q101" s="69">
        <f t="shared" si="73"/>
        <v>3853000</v>
      </c>
      <c r="R101" s="66">
        <f t="shared" si="73"/>
        <v>8146000</v>
      </c>
      <c r="S101" s="66">
        <f t="shared" si="73"/>
        <v>18922000</v>
      </c>
      <c r="T101" s="66">
        <f t="shared" si="73"/>
        <v>51964000</v>
      </c>
      <c r="U101" s="66">
        <f t="shared" si="73"/>
        <v>28885000</v>
      </c>
      <c r="V101" s="69">
        <f t="shared" si="73"/>
        <v>0</v>
      </c>
      <c r="W101" s="66">
        <f t="shared" si="73"/>
        <v>899000</v>
      </c>
      <c r="X101" s="66">
        <f t="shared" si="73"/>
        <v>158554075</v>
      </c>
      <c r="Y101" s="27"/>
      <c r="Z101" s="19"/>
      <c r="AA101" s="19"/>
      <c r="AB101" s="19"/>
    </row>
    <row r="102" spans="1:29" s="20" customFormat="1" ht="25.5" customHeight="1" x14ac:dyDescent="0.4">
      <c r="A102" s="173"/>
      <c r="B102" s="21" t="s">
        <v>52</v>
      </c>
      <c r="C102" s="60">
        <f>IFERROR(C88/C87,0)</f>
        <v>0.59663470884063596</v>
      </c>
      <c r="D102" s="61">
        <f>IFERROR(D87/D86,0)</f>
        <v>0.93263121246409608</v>
      </c>
      <c r="E102" s="60">
        <f t="shared" ref="E102:X102" si="74">IFERROR(E87/E86,0)</f>
        <v>1.3064796065953139</v>
      </c>
      <c r="F102" s="60">
        <f t="shared" si="74"/>
        <v>0</v>
      </c>
      <c r="G102" s="73">
        <f t="shared" si="74"/>
        <v>0.97889391900159062</v>
      </c>
      <c r="H102" s="60">
        <f t="shared" si="74"/>
        <v>0.93315798791128191</v>
      </c>
      <c r="I102" s="62">
        <f t="shared" si="74"/>
        <v>0</v>
      </c>
      <c r="J102" s="62">
        <f t="shared" si="74"/>
        <v>0</v>
      </c>
      <c r="K102" s="60">
        <f t="shared" si="74"/>
        <v>0</v>
      </c>
      <c r="L102" s="60">
        <f t="shared" si="74"/>
        <v>6.6626334519572952</v>
      </c>
      <c r="M102" s="60">
        <f t="shared" si="74"/>
        <v>2.3622677336226774</v>
      </c>
      <c r="N102" s="60">
        <f t="shared" si="74"/>
        <v>1.0737704918032787</v>
      </c>
      <c r="O102" s="62">
        <f t="shared" si="74"/>
        <v>0.81505728314238957</v>
      </c>
      <c r="P102" s="73">
        <f t="shared" si="74"/>
        <v>2.750830564784053</v>
      </c>
      <c r="Q102" s="62">
        <f t="shared" si="74"/>
        <v>0</v>
      </c>
      <c r="R102" s="60">
        <f t="shared" si="74"/>
        <v>0</v>
      </c>
      <c r="S102" s="60">
        <f t="shared" si="74"/>
        <v>1.5825738916256158</v>
      </c>
      <c r="T102" s="60">
        <f t="shared" si="74"/>
        <v>0</v>
      </c>
      <c r="U102" s="60">
        <f t="shared" si="74"/>
        <v>4.2954934398174558</v>
      </c>
      <c r="V102" s="62">
        <f t="shared" si="74"/>
        <v>0</v>
      </c>
      <c r="W102" s="60">
        <f t="shared" si="74"/>
        <v>0</v>
      </c>
      <c r="X102" s="60">
        <f t="shared" si="74"/>
        <v>13.999581449651796</v>
      </c>
      <c r="Y102" s="65"/>
      <c r="Z102" s="19"/>
      <c r="AA102" s="19"/>
      <c r="AB102" s="19"/>
    </row>
    <row r="103" spans="1:29" s="82" customFormat="1" ht="25.5" customHeight="1" x14ac:dyDescent="0.4">
      <c r="A103" s="173"/>
      <c r="B103" s="75" t="s">
        <v>53</v>
      </c>
      <c r="C103" s="76">
        <f>SUM(D103:X103)</f>
        <v>179833935</v>
      </c>
      <c r="D103" s="77">
        <f>D87-D88</f>
        <v>-1085000</v>
      </c>
      <c r="E103" s="76">
        <f t="shared" ref="E103:X103" si="75">E87-E88</f>
        <v>3866000</v>
      </c>
      <c r="F103" s="76">
        <f t="shared" si="75"/>
        <v>-1100000</v>
      </c>
      <c r="G103" s="78">
        <f t="shared" si="75"/>
        <v>-499500</v>
      </c>
      <c r="H103" s="76">
        <f t="shared" si="75"/>
        <v>-4702000</v>
      </c>
      <c r="I103" s="76">
        <f t="shared" si="75"/>
        <v>532000</v>
      </c>
      <c r="J103" s="76">
        <f t="shared" si="75"/>
        <v>260000</v>
      </c>
      <c r="K103" s="76">
        <f t="shared" si="75"/>
        <v>-3529500</v>
      </c>
      <c r="L103" s="76">
        <f t="shared" si="75"/>
        <v>11622000</v>
      </c>
      <c r="M103" s="76">
        <f t="shared" si="75"/>
        <v>-1083000</v>
      </c>
      <c r="N103" s="76">
        <f t="shared" si="75"/>
        <v>-38000</v>
      </c>
      <c r="O103" s="76">
        <f t="shared" si="75"/>
        <v>-202000</v>
      </c>
      <c r="P103" s="78">
        <f t="shared" si="75"/>
        <v>428000</v>
      </c>
      <c r="Q103" s="76">
        <f t="shared" si="75"/>
        <v>3853000</v>
      </c>
      <c r="R103" s="76">
        <f t="shared" si="75"/>
        <v>1146000</v>
      </c>
      <c r="S103" s="76">
        <f t="shared" si="75"/>
        <v>9102000</v>
      </c>
      <c r="T103" s="76">
        <f t="shared" si="75"/>
        <v>-3936000</v>
      </c>
      <c r="U103" s="76">
        <f t="shared" si="75"/>
        <v>6950000</v>
      </c>
      <c r="V103" s="76">
        <f t="shared" si="75"/>
        <v>0</v>
      </c>
      <c r="W103" s="76">
        <f t="shared" si="75"/>
        <v>399000</v>
      </c>
      <c r="X103" s="76">
        <f t="shared" si="75"/>
        <v>157850935</v>
      </c>
      <c r="Y103" s="80"/>
      <c r="Z103" s="81"/>
      <c r="AA103" s="81"/>
      <c r="AB103" s="81"/>
    </row>
    <row r="104" spans="1:29" s="44" customFormat="1" ht="25.5" customHeight="1" thickBot="1" x14ac:dyDescent="0.45">
      <c r="A104" s="174"/>
      <c r="B104" s="83" t="s">
        <v>54</v>
      </c>
      <c r="C104" s="84">
        <f>IFERROR(C86/C88,0)</f>
        <v>0.51808969924812032</v>
      </c>
      <c r="D104" s="85">
        <f>IFERROR(D87/D88,0)</f>
        <v>0.9080508474576271</v>
      </c>
      <c r="E104" s="84">
        <f t="shared" ref="E104:X104" si="76">IFERROR(E87/E88,0)</f>
        <v>1.2722535211267605</v>
      </c>
      <c r="F104" s="84">
        <f t="shared" si="76"/>
        <v>0</v>
      </c>
      <c r="G104" s="86">
        <f t="shared" si="76"/>
        <v>0.94123529411764706</v>
      </c>
      <c r="H104" s="84">
        <f t="shared" si="76"/>
        <v>0.88697115384615388</v>
      </c>
      <c r="I104" s="84">
        <f t="shared" si="76"/>
        <v>0</v>
      </c>
      <c r="J104" s="84">
        <f t="shared" si="76"/>
        <v>0</v>
      </c>
      <c r="K104" s="84">
        <f t="shared" si="76"/>
        <v>0.71763999999999994</v>
      </c>
      <c r="L104" s="84">
        <f t="shared" si="76"/>
        <v>2.6369014084507043</v>
      </c>
      <c r="M104" s="84">
        <f t="shared" si="76"/>
        <v>0.94145945945945941</v>
      </c>
      <c r="N104" s="84">
        <f t="shared" si="76"/>
        <v>0.87333333333333329</v>
      </c>
      <c r="O104" s="84">
        <f t="shared" si="76"/>
        <v>0.71142857142857141</v>
      </c>
      <c r="P104" s="86">
        <f t="shared" si="76"/>
        <v>2.0699999999999998</v>
      </c>
      <c r="Q104" s="84">
        <f t="shared" si="76"/>
        <v>0</v>
      </c>
      <c r="R104" s="84">
        <f t="shared" si="76"/>
        <v>1.1637142857142857</v>
      </c>
      <c r="S104" s="84">
        <f t="shared" si="76"/>
        <v>1.2151773049645389</v>
      </c>
      <c r="T104" s="84">
        <f t="shared" si="76"/>
        <v>0.92958855098389981</v>
      </c>
      <c r="U104" s="84">
        <f t="shared" si="76"/>
        <v>1.226384364820847</v>
      </c>
      <c r="V104" s="84">
        <f t="shared" si="76"/>
        <v>0</v>
      </c>
      <c r="W104" s="84">
        <f t="shared" si="76"/>
        <v>1.798</v>
      </c>
      <c r="X104" s="84">
        <f t="shared" si="76"/>
        <v>13.236506589147286</v>
      </c>
      <c r="Y104" s="88"/>
      <c r="Z104" s="43"/>
      <c r="AA104" s="43"/>
      <c r="AB104" s="43"/>
    </row>
    <row r="105" spans="1:29" s="20" customFormat="1" ht="25.5" customHeight="1" thickTop="1" x14ac:dyDescent="0.4">
      <c r="A105" s="172" t="s">
        <v>60</v>
      </c>
      <c r="B105" s="89" t="s">
        <v>29</v>
      </c>
      <c r="C105" s="90">
        <f t="shared" ref="C105:C111" si="77">SUM(D105:X105)</f>
        <v>215266400</v>
      </c>
      <c r="D105" s="91">
        <v>19806400</v>
      </c>
      <c r="E105" s="90">
        <v>42619500</v>
      </c>
      <c r="F105" s="92">
        <v>0</v>
      </c>
      <c r="G105" s="93">
        <v>0</v>
      </c>
      <c r="H105" s="92">
        <v>0</v>
      </c>
      <c r="I105" s="90">
        <v>21835000</v>
      </c>
      <c r="J105" s="92">
        <v>0</v>
      </c>
      <c r="K105" s="94">
        <v>38552000</v>
      </c>
      <c r="L105" s="90">
        <v>10797000</v>
      </c>
      <c r="M105" s="90">
        <v>15699500</v>
      </c>
      <c r="N105" s="90">
        <v>1277000</v>
      </c>
      <c r="O105" s="92"/>
      <c r="P105" s="93">
        <v>0</v>
      </c>
      <c r="Q105" s="94">
        <v>38680000</v>
      </c>
      <c r="R105" s="92"/>
      <c r="S105" s="94">
        <v>26000000</v>
      </c>
      <c r="T105" s="94">
        <v>0</v>
      </c>
      <c r="U105" s="92"/>
      <c r="V105" s="92"/>
      <c r="W105" s="92"/>
      <c r="X105" s="92"/>
      <c r="Y105" s="95"/>
      <c r="Z105" s="19"/>
      <c r="AA105" s="19"/>
      <c r="AB105" s="19"/>
    </row>
    <row r="106" spans="1:29" s="20" customFormat="1" ht="25.5" customHeight="1" x14ac:dyDescent="0.4">
      <c r="A106" s="173"/>
      <c r="B106" s="21" t="s">
        <v>30</v>
      </c>
      <c r="C106" s="22">
        <f t="shared" si="77"/>
        <v>74164200</v>
      </c>
      <c r="D106" s="23">
        <v>6602000</v>
      </c>
      <c r="E106" s="22">
        <v>9387000</v>
      </c>
      <c r="F106" s="22">
        <v>5669000</v>
      </c>
      <c r="G106" s="24">
        <v>0</v>
      </c>
      <c r="H106" s="25">
        <v>0</v>
      </c>
      <c r="I106" s="22">
        <v>1576200</v>
      </c>
      <c r="J106" s="25">
        <v>0</v>
      </c>
      <c r="K106" s="25">
        <v>0</v>
      </c>
      <c r="L106" s="22">
        <v>6377000</v>
      </c>
      <c r="M106" s="22">
        <v>10619000</v>
      </c>
      <c r="N106" s="22">
        <v>0</v>
      </c>
      <c r="O106" s="25"/>
      <c r="P106" s="24">
        <v>0</v>
      </c>
      <c r="Q106" s="26">
        <v>0</v>
      </c>
      <c r="R106" s="25"/>
      <c r="S106" s="26">
        <v>18001000</v>
      </c>
      <c r="T106" s="26">
        <v>15933000</v>
      </c>
      <c r="U106" s="25"/>
      <c r="V106" s="25"/>
      <c r="W106" s="25"/>
      <c r="X106" s="25"/>
      <c r="Y106" s="27"/>
    </row>
    <row r="107" spans="1:29" s="20" customFormat="1" ht="25.5" customHeight="1" x14ac:dyDescent="0.4">
      <c r="A107" s="173"/>
      <c r="B107" s="21" t="s">
        <v>31</v>
      </c>
      <c r="C107" s="22">
        <f t="shared" si="77"/>
        <v>88349300</v>
      </c>
      <c r="D107" s="23">
        <v>6329000</v>
      </c>
      <c r="E107" s="22">
        <v>0</v>
      </c>
      <c r="F107" s="22">
        <v>0</v>
      </c>
      <c r="G107" s="28">
        <v>2022000</v>
      </c>
      <c r="H107" s="25">
        <v>0</v>
      </c>
      <c r="I107" s="22">
        <v>10949800</v>
      </c>
      <c r="J107" s="25">
        <v>0</v>
      </c>
      <c r="K107" s="25">
        <v>0</v>
      </c>
      <c r="L107" s="22">
        <v>10914000</v>
      </c>
      <c r="M107" s="22">
        <v>18333500</v>
      </c>
      <c r="N107" s="22">
        <v>1100000</v>
      </c>
      <c r="O107" s="25"/>
      <c r="P107" s="29">
        <v>5887000</v>
      </c>
      <c r="Q107" s="26">
        <v>9463000</v>
      </c>
      <c r="R107" s="25"/>
      <c r="S107" s="26">
        <v>0</v>
      </c>
      <c r="T107" s="26">
        <v>23351000</v>
      </c>
      <c r="U107" s="25"/>
      <c r="V107" s="25"/>
      <c r="W107" s="25"/>
      <c r="X107" s="25"/>
      <c r="Y107" s="27"/>
      <c r="Z107" s="19">
        <f>IFERROR(#REF!/#REF!-1,0)</f>
        <v>0</v>
      </c>
      <c r="AA107" s="19">
        <f>IFERROR(C107/C106-1,0)</f>
        <v>0.19126613649173052</v>
      </c>
      <c r="AB107" s="19">
        <f>IFERROR(#REF!/#REF!-1,0)</f>
        <v>0</v>
      </c>
    </row>
    <row r="108" spans="1:29" s="20" customFormat="1" ht="25.5" customHeight="1" x14ac:dyDescent="0.4">
      <c r="A108" s="173"/>
      <c r="B108" s="96" t="s">
        <v>56</v>
      </c>
      <c r="C108" s="22">
        <f t="shared" si="77"/>
        <v>377123300</v>
      </c>
      <c r="D108" s="97">
        <v>34313000</v>
      </c>
      <c r="E108" s="98">
        <v>47324000</v>
      </c>
      <c r="F108" s="98">
        <v>0</v>
      </c>
      <c r="G108" s="99">
        <v>96704300</v>
      </c>
      <c r="H108" s="100">
        <v>0</v>
      </c>
      <c r="I108" s="100">
        <v>0</v>
      </c>
      <c r="J108" s="100">
        <v>0</v>
      </c>
      <c r="K108" s="100">
        <v>0</v>
      </c>
      <c r="L108" s="98">
        <v>16682000</v>
      </c>
      <c r="M108" s="98">
        <v>18678000</v>
      </c>
      <c r="N108" s="98">
        <v>3308000</v>
      </c>
      <c r="O108" s="100"/>
      <c r="P108" s="101">
        <v>18471000</v>
      </c>
      <c r="Q108" s="102">
        <v>24101000</v>
      </c>
      <c r="R108" s="100"/>
      <c r="S108" s="102">
        <v>47182000</v>
      </c>
      <c r="T108" s="102">
        <v>70360000</v>
      </c>
      <c r="U108" s="100"/>
      <c r="V108" s="100"/>
      <c r="W108" s="100"/>
      <c r="X108" s="100"/>
      <c r="Y108" s="103"/>
      <c r="Z108" s="19"/>
      <c r="AA108" s="19"/>
      <c r="AB108" s="19"/>
    </row>
    <row r="109" spans="1:29" s="44" customFormat="1" ht="25.5" customHeight="1" x14ac:dyDescent="0.4">
      <c r="A109" s="173"/>
      <c r="B109" s="21" t="s">
        <v>33</v>
      </c>
      <c r="C109" s="22">
        <f t="shared" si="77"/>
        <v>299614580</v>
      </c>
      <c r="D109" s="23">
        <v>32216000</v>
      </c>
      <c r="E109" s="22">
        <v>46858000</v>
      </c>
      <c r="F109" s="22">
        <v>0</v>
      </c>
      <c r="G109" s="28">
        <v>56950000</v>
      </c>
      <c r="H109" s="25">
        <v>0</v>
      </c>
      <c r="I109" s="25">
        <v>0</v>
      </c>
      <c r="J109" s="25">
        <v>0</v>
      </c>
      <c r="K109" s="25">
        <v>0</v>
      </c>
      <c r="L109" s="22">
        <v>18669000</v>
      </c>
      <c r="M109" s="22">
        <v>10818000</v>
      </c>
      <c r="N109" s="22">
        <v>2248040</v>
      </c>
      <c r="O109" s="25"/>
      <c r="P109" s="29">
        <v>15879000</v>
      </c>
      <c r="Q109" s="22">
        <v>11503540</v>
      </c>
      <c r="R109" s="25"/>
      <c r="S109" s="26">
        <v>38900000</v>
      </c>
      <c r="T109" s="22">
        <v>65573000</v>
      </c>
      <c r="U109" s="25"/>
      <c r="V109" s="25"/>
      <c r="W109" s="25"/>
      <c r="X109" s="25"/>
      <c r="Y109" s="27"/>
      <c r="Z109" s="43"/>
      <c r="AA109" s="43"/>
      <c r="AB109" s="43"/>
      <c r="AC109" s="20"/>
    </row>
    <row r="110" spans="1:29" s="20" customFormat="1" ht="25.5" customHeight="1" x14ac:dyDescent="0.4">
      <c r="A110" s="173"/>
      <c r="B110" s="30" t="s">
        <v>34</v>
      </c>
      <c r="C110" s="22">
        <f t="shared" si="77"/>
        <v>496484790</v>
      </c>
      <c r="D110" s="32">
        <v>25252000</v>
      </c>
      <c r="E110" s="31">
        <v>33614100</v>
      </c>
      <c r="F110" s="31">
        <v>0</v>
      </c>
      <c r="G110" s="33">
        <v>59673000</v>
      </c>
      <c r="H110" s="31">
        <v>41529900</v>
      </c>
      <c r="I110" s="34">
        <v>0</v>
      </c>
      <c r="J110" s="34">
        <v>0</v>
      </c>
      <c r="K110" s="34"/>
      <c r="L110" s="31">
        <v>12150000</v>
      </c>
      <c r="M110" s="31">
        <v>10555000</v>
      </c>
      <c r="N110" s="31">
        <v>1317000</v>
      </c>
      <c r="O110" s="31">
        <v>6677000</v>
      </c>
      <c r="P110" s="33">
        <v>11225000</v>
      </c>
      <c r="Q110" s="34">
        <v>0</v>
      </c>
      <c r="R110" s="34"/>
      <c r="S110" s="35">
        <v>38924000</v>
      </c>
      <c r="T110" s="31">
        <v>55427000</v>
      </c>
      <c r="U110" s="34"/>
      <c r="V110" s="34"/>
      <c r="W110" s="34"/>
      <c r="X110" s="31">
        <v>200140790</v>
      </c>
      <c r="Y110" s="36"/>
      <c r="Z110" s="19"/>
      <c r="AA110" s="19"/>
      <c r="AB110" s="19"/>
    </row>
    <row r="111" spans="1:29" s="20" customFormat="1" ht="25.5" customHeight="1" x14ac:dyDescent="0.4">
      <c r="A111" s="173"/>
      <c r="B111" s="30" t="s">
        <v>57</v>
      </c>
      <c r="C111" s="31">
        <f t="shared" si="77"/>
        <v>347173768</v>
      </c>
      <c r="D111" s="32">
        <v>25838000</v>
      </c>
      <c r="E111" s="31">
        <v>28330000</v>
      </c>
      <c r="F111" s="31">
        <v>10065000</v>
      </c>
      <c r="G111" s="33">
        <v>47561000</v>
      </c>
      <c r="H111" s="31">
        <v>72702000</v>
      </c>
      <c r="I111" s="34">
        <v>0</v>
      </c>
      <c r="J111" s="34">
        <v>0</v>
      </c>
      <c r="K111" s="34">
        <v>0</v>
      </c>
      <c r="L111" s="31">
        <v>18352000</v>
      </c>
      <c r="M111" s="31">
        <v>10232000</v>
      </c>
      <c r="N111" s="31">
        <v>887000</v>
      </c>
      <c r="O111" s="31">
        <v>1478000</v>
      </c>
      <c r="P111" s="33">
        <v>8040000</v>
      </c>
      <c r="Q111" s="34">
        <v>0</v>
      </c>
      <c r="R111" s="34"/>
      <c r="S111" s="31">
        <v>50923000</v>
      </c>
      <c r="T111" s="31">
        <v>0</v>
      </c>
      <c r="U111" s="31">
        <v>31892000</v>
      </c>
      <c r="V111" s="34">
        <v>0</v>
      </c>
      <c r="W111" s="31">
        <v>0</v>
      </c>
      <c r="X111" s="31">
        <v>40873768</v>
      </c>
      <c r="Y111" s="36"/>
      <c r="Z111" s="19"/>
      <c r="AA111" s="19"/>
      <c r="AB111" s="19"/>
    </row>
    <row r="112" spans="1:29" s="44" customFormat="1" ht="25.5" customHeight="1" x14ac:dyDescent="0.4">
      <c r="A112" s="173"/>
      <c r="B112" s="37" t="s">
        <v>36</v>
      </c>
      <c r="C112" s="38">
        <f t="shared" ref="C112:C113" si="78">SUM(D112:X112)</f>
        <v>643885110</v>
      </c>
      <c r="D112" s="39">
        <v>43262000</v>
      </c>
      <c r="E112" s="38">
        <v>37878000</v>
      </c>
      <c r="F112" s="38">
        <v>12113000</v>
      </c>
      <c r="G112" s="40">
        <v>67412000</v>
      </c>
      <c r="H112" s="38">
        <v>91683000</v>
      </c>
      <c r="I112" s="38">
        <v>21880000</v>
      </c>
      <c r="J112" s="38">
        <v>12872000</v>
      </c>
      <c r="K112" s="38">
        <v>26561900</v>
      </c>
      <c r="L112" s="38">
        <v>26693000</v>
      </c>
      <c r="M112" s="38">
        <v>28467000</v>
      </c>
      <c r="N112" s="38">
        <v>1324000</v>
      </c>
      <c r="O112" s="38">
        <v>377000</v>
      </c>
      <c r="P112" s="40">
        <v>11786000</v>
      </c>
      <c r="Q112" s="38">
        <v>15112000</v>
      </c>
      <c r="R112" s="38">
        <v>9118000</v>
      </c>
      <c r="S112" s="38">
        <v>78831000</v>
      </c>
      <c r="T112" s="38">
        <v>97850000</v>
      </c>
      <c r="U112" s="38">
        <v>36848000</v>
      </c>
      <c r="V112" s="38">
        <v>78000</v>
      </c>
      <c r="W112" s="38">
        <v>283000</v>
      </c>
      <c r="X112" s="38">
        <v>23456210</v>
      </c>
      <c r="Y112" s="42"/>
      <c r="Z112" s="43"/>
      <c r="AA112" s="43"/>
      <c r="AB112" s="43"/>
    </row>
    <row r="113" spans="1:28" s="44" customFormat="1" ht="25.5" customHeight="1" x14ac:dyDescent="0.4">
      <c r="A113" s="173"/>
      <c r="B113" s="45" t="s">
        <v>37</v>
      </c>
      <c r="C113" s="46">
        <f t="shared" si="78"/>
        <v>617900000</v>
      </c>
      <c r="D113" s="47">
        <f>ROUNDUP(D111*102%,-5)</f>
        <v>26400000</v>
      </c>
      <c r="E113" s="46">
        <f t="shared" ref="E113" si="79">ROUNDUP(E111*102%,-5)</f>
        <v>28900000</v>
      </c>
      <c r="F113" s="46">
        <f>ROUNDUP(F111*102%,-5)</f>
        <v>10300000</v>
      </c>
      <c r="G113" s="48">
        <f>ROUNDUP(G111*104%,-5)</f>
        <v>49500000</v>
      </c>
      <c r="H113" s="46">
        <f>ROUNDUP(H111*105%,-5)</f>
        <v>76400000</v>
      </c>
      <c r="I113" s="50">
        <f>ROUNDUP(I105*102%,-5)</f>
        <v>22300000</v>
      </c>
      <c r="J113" s="50">
        <f>ROUNDUP(I113*70%,-5)</f>
        <v>15700000</v>
      </c>
      <c r="K113" s="46">
        <f>ROUNDUP(K105*70%,-5)</f>
        <v>27000000</v>
      </c>
      <c r="L113" s="50">
        <f>ROUNDUP(L111*200%,-5)</f>
        <v>36800000</v>
      </c>
      <c r="M113" s="50">
        <f>ROUNDUP(M111*250%,-5)</f>
        <v>25600000</v>
      </c>
      <c r="N113" s="46">
        <f t="shared" ref="N113:P113" si="80">ROUNDUP(N111*102%,-5)</f>
        <v>1000000</v>
      </c>
      <c r="O113" s="46">
        <f t="shared" si="80"/>
        <v>1600000</v>
      </c>
      <c r="P113" s="48">
        <f t="shared" si="80"/>
        <v>8300000</v>
      </c>
      <c r="Q113" s="50">
        <f>ROUNDUP(U113*50%,-5)</f>
        <v>25600000</v>
      </c>
      <c r="R113" s="50">
        <v>15000000</v>
      </c>
      <c r="S113" s="50">
        <f>ROUNDUP(S111*130%,-5)</f>
        <v>66200000</v>
      </c>
      <c r="T113" s="50">
        <f>ROUNDUP(T110*150%,-5)</f>
        <v>83200000</v>
      </c>
      <c r="U113" s="50">
        <f>ROUNDUP(U111*160%,-5)</f>
        <v>51100000</v>
      </c>
      <c r="V113" s="50">
        <v>3000000</v>
      </c>
      <c r="W113" s="50">
        <v>1000000</v>
      </c>
      <c r="X113" s="46">
        <f>ROUNDUP(X111*105%,-5)</f>
        <v>43000000</v>
      </c>
      <c r="Y113" s="51" t="s">
        <v>38</v>
      </c>
      <c r="Z113" s="43"/>
      <c r="AA113" s="43">
        <f>D113/D105</f>
        <v>1.3329024961628564</v>
      </c>
      <c r="AB113" s="43"/>
    </row>
    <row r="114" spans="1:28" s="59" customFormat="1" ht="25.5" customHeight="1" x14ac:dyDescent="0.4">
      <c r="A114" s="173"/>
      <c r="B114" s="12" t="s">
        <v>39</v>
      </c>
      <c r="C114" s="52">
        <f>SUM(D114:X114)</f>
        <v>428618710</v>
      </c>
      <c r="D114" s="53">
        <f>D112-D105</f>
        <v>23455600</v>
      </c>
      <c r="E114" s="52">
        <f t="shared" ref="E114:X114" si="81">E112-E105</f>
        <v>-4741500</v>
      </c>
      <c r="F114" s="54">
        <f t="shared" si="81"/>
        <v>12113000</v>
      </c>
      <c r="G114" s="55">
        <f t="shared" si="81"/>
        <v>67412000</v>
      </c>
      <c r="H114" s="54">
        <f t="shared" si="81"/>
        <v>91683000</v>
      </c>
      <c r="I114" s="52">
        <f t="shared" si="81"/>
        <v>45000</v>
      </c>
      <c r="J114" s="52">
        <f t="shared" si="81"/>
        <v>12872000</v>
      </c>
      <c r="K114" s="56">
        <f t="shared" si="81"/>
        <v>-11990100</v>
      </c>
      <c r="L114" s="52">
        <f t="shared" si="81"/>
        <v>15896000</v>
      </c>
      <c r="M114" s="52">
        <f t="shared" si="81"/>
        <v>12767500</v>
      </c>
      <c r="N114" s="52">
        <f t="shared" si="81"/>
        <v>47000</v>
      </c>
      <c r="O114" s="54">
        <f t="shared" si="81"/>
        <v>377000</v>
      </c>
      <c r="P114" s="55">
        <f t="shared" si="81"/>
        <v>11786000</v>
      </c>
      <c r="Q114" s="56">
        <f t="shared" si="81"/>
        <v>-23568000</v>
      </c>
      <c r="R114" s="54">
        <f t="shared" si="81"/>
        <v>9118000</v>
      </c>
      <c r="S114" s="56">
        <f t="shared" si="81"/>
        <v>52831000</v>
      </c>
      <c r="T114" s="56">
        <f t="shared" si="81"/>
        <v>97850000</v>
      </c>
      <c r="U114" s="54">
        <f t="shared" si="81"/>
        <v>36848000</v>
      </c>
      <c r="V114" s="54">
        <f t="shared" si="81"/>
        <v>78000</v>
      </c>
      <c r="W114" s="54">
        <f t="shared" si="81"/>
        <v>283000</v>
      </c>
      <c r="X114" s="54">
        <f t="shared" si="81"/>
        <v>23456210</v>
      </c>
      <c r="Y114" s="57"/>
      <c r="Z114" s="58"/>
      <c r="AA114" s="58"/>
      <c r="AB114" s="58"/>
    </row>
    <row r="115" spans="1:28" s="20" customFormat="1" ht="25.5" customHeight="1" x14ac:dyDescent="0.4">
      <c r="A115" s="173"/>
      <c r="B115" s="21" t="s">
        <v>40</v>
      </c>
      <c r="C115" s="60">
        <f>IFERROR(C111/C105,0)</f>
        <v>1.6127633852751753</v>
      </c>
      <c r="D115" s="61">
        <f>IFERROR(D112/D105,0)</f>
        <v>2.1842434768559658</v>
      </c>
      <c r="E115" s="60">
        <f t="shared" ref="E115:X115" si="82">IFERROR(E112/E105,0)</f>
        <v>0.88874810826030337</v>
      </c>
      <c r="F115" s="62">
        <f t="shared" si="82"/>
        <v>0</v>
      </c>
      <c r="G115" s="63">
        <f t="shared" si="82"/>
        <v>0</v>
      </c>
      <c r="H115" s="62">
        <f t="shared" si="82"/>
        <v>0</v>
      </c>
      <c r="I115" s="60">
        <f t="shared" si="82"/>
        <v>1.0020609113808105</v>
      </c>
      <c r="J115" s="60">
        <f t="shared" si="82"/>
        <v>0</v>
      </c>
      <c r="K115" s="64">
        <f t="shared" si="82"/>
        <v>0.68898889811164143</v>
      </c>
      <c r="L115" s="60">
        <f t="shared" si="82"/>
        <v>2.4722608131888486</v>
      </c>
      <c r="M115" s="60">
        <f t="shared" si="82"/>
        <v>1.8132424599509538</v>
      </c>
      <c r="N115" s="60">
        <f t="shared" si="82"/>
        <v>1.0368050117462804</v>
      </c>
      <c r="O115" s="62">
        <f t="shared" si="82"/>
        <v>0</v>
      </c>
      <c r="P115" s="63">
        <f t="shared" si="82"/>
        <v>0</v>
      </c>
      <c r="Q115" s="64">
        <f t="shared" si="82"/>
        <v>0.39069286452947261</v>
      </c>
      <c r="R115" s="62">
        <f t="shared" si="82"/>
        <v>0</v>
      </c>
      <c r="S115" s="64">
        <f t="shared" si="82"/>
        <v>3.0319615384615384</v>
      </c>
      <c r="T115" s="64">
        <f t="shared" si="82"/>
        <v>0</v>
      </c>
      <c r="U115" s="62">
        <f t="shared" si="82"/>
        <v>0</v>
      </c>
      <c r="V115" s="62">
        <f t="shared" si="82"/>
        <v>0</v>
      </c>
      <c r="W115" s="62">
        <f t="shared" si="82"/>
        <v>0</v>
      </c>
      <c r="X115" s="62">
        <f t="shared" si="82"/>
        <v>0</v>
      </c>
      <c r="Y115" s="65"/>
      <c r="Z115" s="19"/>
      <c r="AA115" s="19"/>
      <c r="AB115" s="19"/>
    </row>
    <row r="116" spans="1:28" s="59" customFormat="1" ht="25.5" customHeight="1" x14ac:dyDescent="0.4">
      <c r="A116" s="173"/>
      <c r="B116" s="21" t="s">
        <v>41</v>
      </c>
      <c r="C116" s="66">
        <f>SUM(D116:X116)</f>
        <v>569720910</v>
      </c>
      <c r="D116" s="67">
        <f>D112-D106</f>
        <v>36660000</v>
      </c>
      <c r="E116" s="66">
        <f t="shared" ref="E116:X116" si="83">E112-E106</f>
        <v>28491000</v>
      </c>
      <c r="F116" s="66">
        <f t="shared" si="83"/>
        <v>6444000</v>
      </c>
      <c r="G116" s="68">
        <f t="shared" si="83"/>
        <v>67412000</v>
      </c>
      <c r="H116" s="69">
        <f t="shared" si="83"/>
        <v>91683000</v>
      </c>
      <c r="I116" s="66">
        <f t="shared" si="83"/>
        <v>20303800</v>
      </c>
      <c r="J116" s="69">
        <f t="shared" si="83"/>
        <v>12872000</v>
      </c>
      <c r="K116" s="70">
        <f t="shared" si="83"/>
        <v>26561900</v>
      </c>
      <c r="L116" s="66">
        <f t="shared" si="83"/>
        <v>20316000</v>
      </c>
      <c r="M116" s="66">
        <f t="shared" si="83"/>
        <v>17848000</v>
      </c>
      <c r="N116" s="66">
        <f t="shared" si="83"/>
        <v>1324000</v>
      </c>
      <c r="O116" s="69">
        <f t="shared" si="83"/>
        <v>377000</v>
      </c>
      <c r="P116" s="68">
        <f t="shared" si="83"/>
        <v>11786000</v>
      </c>
      <c r="Q116" s="70">
        <f t="shared" si="83"/>
        <v>15112000</v>
      </c>
      <c r="R116" s="69">
        <f t="shared" si="83"/>
        <v>9118000</v>
      </c>
      <c r="S116" s="70">
        <f t="shared" si="83"/>
        <v>60830000</v>
      </c>
      <c r="T116" s="70">
        <f t="shared" si="83"/>
        <v>81917000</v>
      </c>
      <c r="U116" s="69">
        <f t="shared" si="83"/>
        <v>36848000</v>
      </c>
      <c r="V116" s="69">
        <f t="shared" si="83"/>
        <v>78000</v>
      </c>
      <c r="W116" s="69">
        <f t="shared" si="83"/>
        <v>283000</v>
      </c>
      <c r="X116" s="69">
        <f t="shared" si="83"/>
        <v>23456210</v>
      </c>
      <c r="Y116" s="27"/>
      <c r="Z116" s="58"/>
      <c r="AA116" s="58"/>
      <c r="AB116" s="58"/>
    </row>
    <row r="117" spans="1:28" s="20" customFormat="1" ht="25.5" customHeight="1" x14ac:dyDescent="0.4">
      <c r="A117" s="173"/>
      <c r="B117" s="21" t="s">
        <v>42</v>
      </c>
      <c r="C117" s="60">
        <f>IFERROR(C111/C106,0)</f>
        <v>4.6811503124148848</v>
      </c>
      <c r="D117" s="61">
        <f>IFERROR(D112/D106,0)</f>
        <v>6.5528627688579215</v>
      </c>
      <c r="E117" s="60">
        <f t="shared" ref="E117:X117" si="84">IFERROR(E112/E106,0)</f>
        <v>4.0351550015979543</v>
      </c>
      <c r="F117" s="60">
        <f t="shared" si="84"/>
        <v>2.1367084141823955</v>
      </c>
      <c r="G117" s="63">
        <f t="shared" si="84"/>
        <v>0</v>
      </c>
      <c r="H117" s="62">
        <f t="shared" si="84"/>
        <v>0</v>
      </c>
      <c r="I117" s="60">
        <f t="shared" si="84"/>
        <v>13.88148712092374</v>
      </c>
      <c r="J117" s="62">
        <f t="shared" si="84"/>
        <v>0</v>
      </c>
      <c r="K117" s="64">
        <f t="shared" si="84"/>
        <v>0</v>
      </c>
      <c r="L117" s="60">
        <f t="shared" si="84"/>
        <v>4.1858240551983688</v>
      </c>
      <c r="M117" s="60">
        <f t="shared" si="84"/>
        <v>2.6807609002730954</v>
      </c>
      <c r="N117" s="60">
        <f t="shared" si="84"/>
        <v>0</v>
      </c>
      <c r="O117" s="62">
        <f t="shared" si="84"/>
        <v>0</v>
      </c>
      <c r="P117" s="63">
        <f t="shared" si="84"/>
        <v>0</v>
      </c>
      <c r="Q117" s="64">
        <f t="shared" si="84"/>
        <v>0</v>
      </c>
      <c r="R117" s="62">
        <f t="shared" si="84"/>
        <v>0</v>
      </c>
      <c r="S117" s="64">
        <f t="shared" si="84"/>
        <v>4.3792567079606686</v>
      </c>
      <c r="T117" s="64">
        <f t="shared" si="84"/>
        <v>6.1413418690767587</v>
      </c>
      <c r="U117" s="62">
        <f t="shared" si="84"/>
        <v>0</v>
      </c>
      <c r="V117" s="62">
        <f t="shared" si="84"/>
        <v>0</v>
      </c>
      <c r="W117" s="62">
        <f t="shared" si="84"/>
        <v>0</v>
      </c>
      <c r="X117" s="62">
        <f t="shared" si="84"/>
        <v>0</v>
      </c>
      <c r="Y117" s="65"/>
      <c r="Z117" s="19"/>
      <c r="AA117" s="19"/>
      <c r="AB117" s="19"/>
    </row>
    <row r="118" spans="1:28" s="59" customFormat="1" ht="25.5" customHeight="1" x14ac:dyDescent="0.4">
      <c r="A118" s="173"/>
      <c r="B118" s="21" t="s">
        <v>43</v>
      </c>
      <c r="C118" s="66">
        <f>SUM(D118:X118)</f>
        <v>555535810</v>
      </c>
      <c r="D118" s="67">
        <f>D112-D107</f>
        <v>36933000</v>
      </c>
      <c r="E118" s="66">
        <f t="shared" ref="E118:X118" si="85">E112-E107</f>
        <v>37878000</v>
      </c>
      <c r="F118" s="66">
        <f t="shared" si="85"/>
        <v>12113000</v>
      </c>
      <c r="G118" s="71">
        <f t="shared" si="85"/>
        <v>65390000</v>
      </c>
      <c r="H118" s="69">
        <f t="shared" si="85"/>
        <v>91683000</v>
      </c>
      <c r="I118" s="66">
        <f t="shared" si="85"/>
        <v>10930200</v>
      </c>
      <c r="J118" s="69">
        <f t="shared" si="85"/>
        <v>12872000</v>
      </c>
      <c r="K118" s="25">
        <f t="shared" si="85"/>
        <v>26561900</v>
      </c>
      <c r="L118" s="66">
        <f t="shared" si="85"/>
        <v>15779000</v>
      </c>
      <c r="M118" s="66">
        <f t="shared" si="85"/>
        <v>10133500</v>
      </c>
      <c r="N118" s="66">
        <f t="shared" si="85"/>
        <v>224000</v>
      </c>
      <c r="O118" s="69">
        <f t="shared" si="85"/>
        <v>377000</v>
      </c>
      <c r="P118" s="72">
        <f t="shared" si="85"/>
        <v>5899000</v>
      </c>
      <c r="Q118" s="70">
        <f t="shared" si="85"/>
        <v>5649000</v>
      </c>
      <c r="R118" s="69">
        <f t="shared" si="85"/>
        <v>9118000</v>
      </c>
      <c r="S118" s="70">
        <f t="shared" si="85"/>
        <v>78831000</v>
      </c>
      <c r="T118" s="70">
        <f t="shared" si="85"/>
        <v>74499000</v>
      </c>
      <c r="U118" s="69">
        <f t="shared" si="85"/>
        <v>36848000</v>
      </c>
      <c r="V118" s="69">
        <f t="shared" si="85"/>
        <v>78000</v>
      </c>
      <c r="W118" s="69">
        <f t="shared" si="85"/>
        <v>283000</v>
      </c>
      <c r="X118" s="69">
        <f t="shared" si="85"/>
        <v>23456210</v>
      </c>
      <c r="Y118" s="27"/>
      <c r="Z118" s="58"/>
      <c r="AA118" s="58"/>
      <c r="AB118" s="58"/>
    </row>
    <row r="119" spans="1:28" s="20" customFormat="1" ht="25.5" customHeight="1" x14ac:dyDescent="0.4">
      <c r="A119" s="173"/>
      <c r="B119" s="21" t="s">
        <v>44</v>
      </c>
      <c r="C119" s="60">
        <f>IFERROR(C111/C107,0)</f>
        <v>3.9295587854119955</v>
      </c>
      <c r="D119" s="61">
        <f>IFERROR(D112/D107,0)</f>
        <v>6.8355190393427083</v>
      </c>
      <c r="E119" s="60">
        <f t="shared" ref="E119:X119" si="86">IFERROR(E112/E107,0)</f>
        <v>0</v>
      </c>
      <c r="F119" s="60">
        <f t="shared" si="86"/>
        <v>0</v>
      </c>
      <c r="G119" s="73">
        <f t="shared" si="86"/>
        <v>33.339268051434225</v>
      </c>
      <c r="H119" s="62">
        <f t="shared" si="86"/>
        <v>0</v>
      </c>
      <c r="I119" s="60">
        <f t="shared" si="86"/>
        <v>1.9982100129682734</v>
      </c>
      <c r="J119" s="62">
        <f t="shared" si="86"/>
        <v>0</v>
      </c>
      <c r="K119" s="62">
        <f t="shared" si="86"/>
        <v>0</v>
      </c>
      <c r="L119" s="60">
        <f t="shared" si="86"/>
        <v>2.4457577423492762</v>
      </c>
      <c r="M119" s="60">
        <f t="shared" si="86"/>
        <v>1.5527313388060109</v>
      </c>
      <c r="N119" s="60">
        <f t="shared" si="86"/>
        <v>1.2036363636363636</v>
      </c>
      <c r="O119" s="62">
        <f t="shared" si="86"/>
        <v>0</v>
      </c>
      <c r="P119" s="74">
        <f t="shared" si="86"/>
        <v>2.0020383896721592</v>
      </c>
      <c r="Q119" s="64">
        <f t="shared" si="86"/>
        <v>1.5969565676846667</v>
      </c>
      <c r="R119" s="62">
        <f t="shared" si="86"/>
        <v>0</v>
      </c>
      <c r="S119" s="64">
        <f t="shared" si="86"/>
        <v>0</v>
      </c>
      <c r="T119" s="64">
        <f t="shared" si="86"/>
        <v>4.1903986981285595</v>
      </c>
      <c r="U119" s="62">
        <f t="shared" si="86"/>
        <v>0</v>
      </c>
      <c r="V119" s="62">
        <f t="shared" si="86"/>
        <v>0</v>
      </c>
      <c r="W119" s="62">
        <f t="shared" si="86"/>
        <v>0</v>
      </c>
      <c r="X119" s="62">
        <f t="shared" si="86"/>
        <v>0</v>
      </c>
      <c r="Y119" s="65"/>
      <c r="Z119" s="19"/>
      <c r="AA119" s="19"/>
      <c r="AB119" s="19"/>
    </row>
    <row r="120" spans="1:28" s="59" customFormat="1" ht="25.5" customHeight="1" x14ac:dyDescent="0.4">
      <c r="A120" s="173"/>
      <c r="B120" s="21" t="s">
        <v>45</v>
      </c>
      <c r="C120" s="66">
        <f>SUM(D120:X120)</f>
        <v>266761810</v>
      </c>
      <c r="D120" s="67">
        <f>D112-D108</f>
        <v>8949000</v>
      </c>
      <c r="E120" s="66">
        <f t="shared" ref="E120:X120" si="87">E112-E108</f>
        <v>-9446000</v>
      </c>
      <c r="F120" s="66">
        <f t="shared" si="87"/>
        <v>12113000</v>
      </c>
      <c r="G120" s="71">
        <f t="shared" si="87"/>
        <v>-29292300</v>
      </c>
      <c r="H120" s="69">
        <f t="shared" si="87"/>
        <v>91683000</v>
      </c>
      <c r="I120" s="66">
        <f t="shared" si="87"/>
        <v>21880000</v>
      </c>
      <c r="J120" s="69">
        <f t="shared" si="87"/>
        <v>12872000</v>
      </c>
      <c r="K120" s="25">
        <f t="shared" si="87"/>
        <v>26561900</v>
      </c>
      <c r="L120" s="66">
        <f t="shared" si="87"/>
        <v>10011000</v>
      </c>
      <c r="M120" s="66">
        <f t="shared" si="87"/>
        <v>9789000</v>
      </c>
      <c r="N120" s="66">
        <f t="shared" si="87"/>
        <v>-1984000</v>
      </c>
      <c r="O120" s="69">
        <f t="shared" si="87"/>
        <v>377000</v>
      </c>
      <c r="P120" s="72">
        <f t="shared" si="87"/>
        <v>-6685000</v>
      </c>
      <c r="Q120" s="70">
        <f t="shared" si="87"/>
        <v>-8989000</v>
      </c>
      <c r="R120" s="69">
        <f t="shared" si="87"/>
        <v>9118000</v>
      </c>
      <c r="S120" s="70">
        <f t="shared" si="87"/>
        <v>31649000</v>
      </c>
      <c r="T120" s="70">
        <f t="shared" si="87"/>
        <v>27490000</v>
      </c>
      <c r="U120" s="69">
        <f t="shared" si="87"/>
        <v>36848000</v>
      </c>
      <c r="V120" s="69">
        <f t="shared" si="87"/>
        <v>78000</v>
      </c>
      <c r="W120" s="69">
        <f t="shared" si="87"/>
        <v>283000</v>
      </c>
      <c r="X120" s="69">
        <f t="shared" si="87"/>
        <v>23456210</v>
      </c>
      <c r="Y120" s="27"/>
      <c r="Z120" s="58"/>
      <c r="AA120" s="58"/>
      <c r="AB120" s="58"/>
    </row>
    <row r="121" spans="1:28" s="20" customFormat="1" ht="25.5" customHeight="1" x14ac:dyDescent="0.4">
      <c r="A121" s="173"/>
      <c r="B121" s="21" t="s">
        <v>46</v>
      </c>
      <c r="C121" s="60">
        <f>IFERROR(C111/C108,0)</f>
        <v>0.92058424393295246</v>
      </c>
      <c r="D121" s="61">
        <f>IFERROR(D112/D108,0)</f>
        <v>1.260804942733075</v>
      </c>
      <c r="E121" s="60">
        <f t="shared" ref="E121:X121" si="88">IFERROR(E112/E108,0)</f>
        <v>0.80039726143183165</v>
      </c>
      <c r="F121" s="60">
        <f t="shared" si="88"/>
        <v>0</v>
      </c>
      <c r="G121" s="73">
        <f t="shared" si="88"/>
        <v>0.69709413128475151</v>
      </c>
      <c r="H121" s="62">
        <f t="shared" si="88"/>
        <v>0</v>
      </c>
      <c r="I121" s="60">
        <f t="shared" si="88"/>
        <v>0</v>
      </c>
      <c r="J121" s="62">
        <f t="shared" si="88"/>
        <v>0</v>
      </c>
      <c r="K121" s="62">
        <f t="shared" si="88"/>
        <v>0</v>
      </c>
      <c r="L121" s="60">
        <f t="shared" si="88"/>
        <v>1.6001079007313272</v>
      </c>
      <c r="M121" s="60">
        <f t="shared" si="88"/>
        <v>1.5240925152585929</v>
      </c>
      <c r="N121" s="60">
        <f t="shared" si="88"/>
        <v>0.40024183796856105</v>
      </c>
      <c r="O121" s="62">
        <f t="shared" si="88"/>
        <v>0</v>
      </c>
      <c r="P121" s="74">
        <f t="shared" si="88"/>
        <v>0.63808131665854584</v>
      </c>
      <c r="Q121" s="64">
        <f t="shared" si="88"/>
        <v>0.62702792415252484</v>
      </c>
      <c r="R121" s="62">
        <f t="shared" si="88"/>
        <v>0</v>
      </c>
      <c r="S121" s="64">
        <f t="shared" si="88"/>
        <v>1.6707854690348014</v>
      </c>
      <c r="T121" s="64">
        <f t="shared" si="88"/>
        <v>1.3907049459920409</v>
      </c>
      <c r="U121" s="62">
        <f t="shared" si="88"/>
        <v>0</v>
      </c>
      <c r="V121" s="62">
        <f t="shared" si="88"/>
        <v>0</v>
      </c>
      <c r="W121" s="62">
        <f t="shared" si="88"/>
        <v>0</v>
      </c>
      <c r="X121" s="62">
        <f t="shared" si="88"/>
        <v>0</v>
      </c>
      <c r="Y121" s="65"/>
      <c r="Z121" s="19"/>
      <c r="AA121" s="19"/>
      <c r="AB121" s="19"/>
    </row>
    <row r="122" spans="1:28" s="59" customFormat="1" ht="25.5" customHeight="1" x14ac:dyDescent="0.4">
      <c r="A122" s="173"/>
      <c r="B122" s="21" t="s">
        <v>47</v>
      </c>
      <c r="C122" s="66">
        <f>SUM(D122:X122)</f>
        <v>344270530</v>
      </c>
      <c r="D122" s="67">
        <f>D112-D109</f>
        <v>11046000</v>
      </c>
      <c r="E122" s="66">
        <f t="shared" ref="E122:X122" si="89">E112-E109</f>
        <v>-8980000</v>
      </c>
      <c r="F122" s="66">
        <f t="shared" si="89"/>
        <v>12113000</v>
      </c>
      <c r="G122" s="71">
        <f t="shared" si="89"/>
        <v>10462000</v>
      </c>
      <c r="H122" s="69">
        <f t="shared" si="89"/>
        <v>91683000</v>
      </c>
      <c r="I122" s="69">
        <f t="shared" si="89"/>
        <v>21880000</v>
      </c>
      <c r="J122" s="69">
        <f t="shared" si="89"/>
        <v>12872000</v>
      </c>
      <c r="K122" s="25">
        <f t="shared" si="89"/>
        <v>26561900</v>
      </c>
      <c r="L122" s="66">
        <f t="shared" si="89"/>
        <v>8024000</v>
      </c>
      <c r="M122" s="66">
        <f t="shared" si="89"/>
        <v>17649000</v>
      </c>
      <c r="N122" s="66">
        <f t="shared" si="89"/>
        <v>-924040</v>
      </c>
      <c r="O122" s="69">
        <f t="shared" si="89"/>
        <v>377000</v>
      </c>
      <c r="P122" s="72">
        <f t="shared" si="89"/>
        <v>-4093000</v>
      </c>
      <c r="Q122" s="66">
        <f t="shared" si="89"/>
        <v>3608460</v>
      </c>
      <c r="R122" s="69">
        <f t="shared" si="89"/>
        <v>9118000</v>
      </c>
      <c r="S122" s="70">
        <f t="shared" si="89"/>
        <v>39931000</v>
      </c>
      <c r="T122" s="66">
        <f t="shared" si="89"/>
        <v>32277000</v>
      </c>
      <c r="U122" s="69">
        <f t="shared" si="89"/>
        <v>36848000</v>
      </c>
      <c r="V122" s="69">
        <f t="shared" si="89"/>
        <v>78000</v>
      </c>
      <c r="W122" s="69">
        <f t="shared" si="89"/>
        <v>283000</v>
      </c>
      <c r="X122" s="69">
        <f t="shared" si="89"/>
        <v>23456210</v>
      </c>
      <c r="Y122" s="27"/>
      <c r="Z122" s="58"/>
      <c r="AA122" s="58"/>
      <c r="AB122" s="58"/>
    </row>
    <row r="123" spans="1:28" s="20" customFormat="1" ht="25.5" customHeight="1" x14ac:dyDescent="0.4">
      <c r="A123" s="173"/>
      <c r="B123" s="21" t="s">
        <v>48</v>
      </c>
      <c r="C123" s="60">
        <f>IFERROR(C111/C109,0)</f>
        <v>1.1587345582447957</v>
      </c>
      <c r="D123" s="61">
        <f>IFERROR(D112/D109,0)</f>
        <v>1.3428731065309163</v>
      </c>
      <c r="E123" s="60">
        <f t="shared" ref="E123:X123" si="90">IFERROR(E112/E109,0)</f>
        <v>0.80835716419821591</v>
      </c>
      <c r="F123" s="60">
        <f t="shared" si="90"/>
        <v>0</v>
      </c>
      <c r="G123" s="73">
        <f t="shared" si="90"/>
        <v>1.1837050043898156</v>
      </c>
      <c r="H123" s="62">
        <f t="shared" si="90"/>
        <v>0</v>
      </c>
      <c r="I123" s="62">
        <f t="shared" si="90"/>
        <v>0</v>
      </c>
      <c r="J123" s="62">
        <f t="shared" si="90"/>
        <v>0</v>
      </c>
      <c r="K123" s="62">
        <f t="shared" si="90"/>
        <v>0</v>
      </c>
      <c r="L123" s="60">
        <f t="shared" si="90"/>
        <v>1.4298034174299641</v>
      </c>
      <c r="M123" s="60">
        <f t="shared" si="90"/>
        <v>2.6314475873544092</v>
      </c>
      <c r="N123" s="60">
        <f t="shared" si="90"/>
        <v>0.58895749185957547</v>
      </c>
      <c r="O123" s="62">
        <f t="shared" si="90"/>
        <v>0</v>
      </c>
      <c r="P123" s="74">
        <f t="shared" si="90"/>
        <v>0.74223817620756971</v>
      </c>
      <c r="Q123" s="60">
        <f t="shared" si="90"/>
        <v>1.3136825707564801</v>
      </c>
      <c r="R123" s="62">
        <f t="shared" si="90"/>
        <v>0</v>
      </c>
      <c r="S123" s="64">
        <f t="shared" si="90"/>
        <v>2.0265038560411313</v>
      </c>
      <c r="T123" s="60">
        <f t="shared" si="90"/>
        <v>1.492230033702896</v>
      </c>
      <c r="U123" s="62">
        <f t="shared" si="90"/>
        <v>0</v>
      </c>
      <c r="V123" s="62">
        <f t="shared" si="90"/>
        <v>0</v>
      </c>
      <c r="W123" s="62">
        <f t="shared" si="90"/>
        <v>0</v>
      </c>
      <c r="X123" s="62">
        <f t="shared" si="90"/>
        <v>0</v>
      </c>
      <c r="Y123" s="65"/>
      <c r="Z123" s="19"/>
      <c r="AA123" s="19"/>
      <c r="AB123" s="19"/>
    </row>
    <row r="124" spans="1:28" s="20" customFormat="1" ht="25.5" customHeight="1" x14ac:dyDescent="0.4">
      <c r="A124" s="173"/>
      <c r="B124" s="21" t="s">
        <v>49</v>
      </c>
      <c r="C124" s="66">
        <f>SUM(D124:X124)</f>
        <v>147400320</v>
      </c>
      <c r="D124" s="67">
        <f>D112-D110</f>
        <v>18010000</v>
      </c>
      <c r="E124" s="66">
        <f t="shared" ref="E124:X124" si="91">E112-E110</f>
        <v>4263900</v>
      </c>
      <c r="F124" s="66">
        <f t="shared" si="91"/>
        <v>12113000</v>
      </c>
      <c r="G124" s="71">
        <f t="shared" si="91"/>
        <v>7739000</v>
      </c>
      <c r="H124" s="66">
        <f t="shared" si="91"/>
        <v>50153100</v>
      </c>
      <c r="I124" s="69">
        <f t="shared" si="91"/>
        <v>21880000</v>
      </c>
      <c r="J124" s="69">
        <f t="shared" si="91"/>
        <v>12872000</v>
      </c>
      <c r="K124" s="25">
        <f t="shared" si="91"/>
        <v>26561900</v>
      </c>
      <c r="L124" s="66">
        <f t="shared" si="91"/>
        <v>14543000</v>
      </c>
      <c r="M124" s="66">
        <f t="shared" si="91"/>
        <v>17912000</v>
      </c>
      <c r="N124" s="66">
        <f t="shared" si="91"/>
        <v>7000</v>
      </c>
      <c r="O124" s="69">
        <f t="shared" si="91"/>
        <v>-6300000</v>
      </c>
      <c r="P124" s="71">
        <f t="shared" si="91"/>
        <v>561000</v>
      </c>
      <c r="Q124" s="69">
        <f t="shared" si="91"/>
        <v>15112000</v>
      </c>
      <c r="R124" s="69">
        <f t="shared" si="91"/>
        <v>9118000</v>
      </c>
      <c r="S124" s="70">
        <f t="shared" si="91"/>
        <v>39907000</v>
      </c>
      <c r="T124" s="66">
        <f t="shared" si="91"/>
        <v>42423000</v>
      </c>
      <c r="U124" s="69">
        <f t="shared" si="91"/>
        <v>36848000</v>
      </c>
      <c r="V124" s="69">
        <f t="shared" si="91"/>
        <v>78000</v>
      </c>
      <c r="W124" s="69">
        <f t="shared" si="91"/>
        <v>283000</v>
      </c>
      <c r="X124" s="66">
        <f t="shared" si="91"/>
        <v>-176684580</v>
      </c>
      <c r="Y124" s="27"/>
      <c r="Z124" s="19"/>
      <c r="AA124" s="19"/>
      <c r="AB124" s="19"/>
    </row>
    <row r="125" spans="1:28" s="20" customFormat="1" ht="25.5" customHeight="1" x14ac:dyDescent="0.4">
      <c r="A125" s="173"/>
      <c r="B125" s="21" t="s">
        <v>50</v>
      </c>
      <c r="C125" s="60">
        <f>IFERROR(C111/C110,0)</f>
        <v>0.69926365317253725</v>
      </c>
      <c r="D125" s="61">
        <f>IFERROR(D112/D110,0)</f>
        <v>1.7132108347853636</v>
      </c>
      <c r="E125" s="60">
        <f t="shared" ref="E125:X125" si="92">IFERROR(E112/E110,0)</f>
        <v>1.1268485546243987</v>
      </c>
      <c r="F125" s="60">
        <f t="shared" si="92"/>
        <v>0</v>
      </c>
      <c r="G125" s="73">
        <f t="shared" si="92"/>
        <v>1.1296901446215206</v>
      </c>
      <c r="H125" s="60">
        <f t="shared" si="92"/>
        <v>2.2076383521270215</v>
      </c>
      <c r="I125" s="62">
        <f t="shared" si="92"/>
        <v>0</v>
      </c>
      <c r="J125" s="62">
        <f t="shared" si="92"/>
        <v>0</v>
      </c>
      <c r="K125" s="62">
        <f t="shared" si="92"/>
        <v>0</v>
      </c>
      <c r="L125" s="60">
        <f t="shared" si="92"/>
        <v>2.1969547325102883</v>
      </c>
      <c r="M125" s="60">
        <f t="shared" si="92"/>
        <v>2.6970156324017052</v>
      </c>
      <c r="N125" s="60">
        <f t="shared" si="92"/>
        <v>1.0053151100987092</v>
      </c>
      <c r="O125" s="62">
        <f t="shared" si="92"/>
        <v>5.6462483151115773E-2</v>
      </c>
      <c r="P125" s="73">
        <f t="shared" si="92"/>
        <v>1.049977728285078</v>
      </c>
      <c r="Q125" s="62">
        <f t="shared" si="92"/>
        <v>0</v>
      </c>
      <c r="R125" s="62">
        <f t="shared" si="92"/>
        <v>0</v>
      </c>
      <c r="S125" s="64">
        <f t="shared" si="92"/>
        <v>2.0252543417942657</v>
      </c>
      <c r="T125" s="60">
        <f t="shared" si="92"/>
        <v>1.7653851011240009</v>
      </c>
      <c r="U125" s="62">
        <f t="shared" si="92"/>
        <v>0</v>
      </c>
      <c r="V125" s="62">
        <f t="shared" si="92"/>
        <v>0</v>
      </c>
      <c r="W125" s="62">
        <f t="shared" si="92"/>
        <v>0</v>
      </c>
      <c r="X125" s="60">
        <f t="shared" si="92"/>
        <v>0.11719854808207762</v>
      </c>
      <c r="Y125" s="65"/>
      <c r="Z125" s="19"/>
      <c r="AA125" s="19"/>
      <c r="AB125" s="19"/>
    </row>
    <row r="126" spans="1:28" s="20" customFormat="1" ht="25.5" customHeight="1" x14ac:dyDescent="0.4">
      <c r="A126" s="173"/>
      <c r="B126" s="21" t="s">
        <v>51</v>
      </c>
      <c r="C126" s="66">
        <f>SUM(D126:X126)</f>
        <v>296711342</v>
      </c>
      <c r="D126" s="67">
        <f>D112-D111</f>
        <v>17424000</v>
      </c>
      <c r="E126" s="66">
        <f t="shared" ref="E126:X126" si="93">E112-E111</f>
        <v>9548000</v>
      </c>
      <c r="F126" s="66">
        <f t="shared" si="93"/>
        <v>2048000</v>
      </c>
      <c r="G126" s="71">
        <f t="shared" si="93"/>
        <v>19851000</v>
      </c>
      <c r="H126" s="66">
        <f t="shared" si="93"/>
        <v>18981000</v>
      </c>
      <c r="I126" s="69">
        <f t="shared" si="93"/>
        <v>21880000</v>
      </c>
      <c r="J126" s="69">
        <f t="shared" si="93"/>
        <v>12872000</v>
      </c>
      <c r="K126" s="22">
        <f t="shared" si="93"/>
        <v>26561900</v>
      </c>
      <c r="L126" s="66">
        <f t="shared" si="93"/>
        <v>8341000</v>
      </c>
      <c r="M126" s="66">
        <f t="shared" si="93"/>
        <v>18235000</v>
      </c>
      <c r="N126" s="66">
        <f t="shared" si="93"/>
        <v>437000</v>
      </c>
      <c r="O126" s="69">
        <f t="shared" si="93"/>
        <v>-1101000</v>
      </c>
      <c r="P126" s="71">
        <f t="shared" si="93"/>
        <v>3746000</v>
      </c>
      <c r="Q126" s="69">
        <f t="shared" si="93"/>
        <v>15112000</v>
      </c>
      <c r="R126" s="66">
        <f t="shared" si="93"/>
        <v>9118000</v>
      </c>
      <c r="S126" s="66">
        <f t="shared" si="93"/>
        <v>27908000</v>
      </c>
      <c r="T126" s="66">
        <f t="shared" si="93"/>
        <v>97850000</v>
      </c>
      <c r="U126" s="66">
        <f t="shared" si="93"/>
        <v>4956000</v>
      </c>
      <c r="V126" s="69">
        <f t="shared" si="93"/>
        <v>78000</v>
      </c>
      <c r="W126" s="66">
        <f t="shared" si="93"/>
        <v>283000</v>
      </c>
      <c r="X126" s="66">
        <f t="shared" si="93"/>
        <v>-17417558</v>
      </c>
      <c r="Y126" s="27"/>
      <c r="Z126" s="19"/>
      <c r="AA126" s="19"/>
      <c r="AB126" s="19"/>
    </row>
    <row r="127" spans="1:28" s="20" customFormat="1" ht="25.5" customHeight="1" x14ac:dyDescent="0.4">
      <c r="A127" s="173"/>
      <c r="B127" s="21" t="s">
        <v>52</v>
      </c>
      <c r="C127" s="60">
        <f>IFERROR(C113/C112,0)</f>
        <v>0.9596432506414071</v>
      </c>
      <c r="D127" s="61">
        <f>IFERROR(D112/D111,0)</f>
        <v>1.6743556002786593</v>
      </c>
      <c r="E127" s="60">
        <f t="shared" ref="E127:X127" si="94">IFERROR(E112/E111,0)</f>
        <v>1.337027885633604</v>
      </c>
      <c r="F127" s="60">
        <f t="shared" si="94"/>
        <v>1.2034773969200199</v>
      </c>
      <c r="G127" s="73">
        <f t="shared" si="94"/>
        <v>1.4173797859590842</v>
      </c>
      <c r="H127" s="60">
        <f t="shared" si="94"/>
        <v>1.2610794751176033</v>
      </c>
      <c r="I127" s="62">
        <f t="shared" si="94"/>
        <v>0</v>
      </c>
      <c r="J127" s="62">
        <f t="shared" si="94"/>
        <v>0</v>
      </c>
      <c r="K127" s="60">
        <f t="shared" si="94"/>
        <v>0</v>
      </c>
      <c r="L127" s="60">
        <f t="shared" si="94"/>
        <v>1.4545008718395815</v>
      </c>
      <c r="M127" s="60">
        <f t="shared" si="94"/>
        <v>2.7821540265832683</v>
      </c>
      <c r="N127" s="60">
        <f t="shared" si="94"/>
        <v>1.4926719278466742</v>
      </c>
      <c r="O127" s="62">
        <f t="shared" si="94"/>
        <v>0.25507442489851151</v>
      </c>
      <c r="P127" s="73">
        <f t="shared" si="94"/>
        <v>1.4659203980099502</v>
      </c>
      <c r="Q127" s="62">
        <f t="shared" si="94"/>
        <v>0</v>
      </c>
      <c r="R127" s="60">
        <f t="shared" si="94"/>
        <v>0</v>
      </c>
      <c r="S127" s="60">
        <f t="shared" si="94"/>
        <v>1.5480431239322114</v>
      </c>
      <c r="T127" s="60">
        <f t="shared" si="94"/>
        <v>0</v>
      </c>
      <c r="U127" s="60">
        <f t="shared" si="94"/>
        <v>1.1553994732221247</v>
      </c>
      <c r="V127" s="62">
        <f t="shared" si="94"/>
        <v>0</v>
      </c>
      <c r="W127" s="60">
        <f t="shared" si="94"/>
        <v>0</v>
      </c>
      <c r="X127" s="60">
        <f t="shared" si="94"/>
        <v>0.57386952922960266</v>
      </c>
      <c r="Y127" s="65"/>
      <c r="Z127" s="19"/>
      <c r="AA127" s="19"/>
      <c r="AB127" s="19"/>
    </row>
    <row r="128" spans="1:28" s="82" customFormat="1" ht="25.5" customHeight="1" x14ac:dyDescent="0.4">
      <c r="A128" s="173"/>
      <c r="B128" s="75" t="s">
        <v>53</v>
      </c>
      <c r="C128" s="76">
        <f>SUM(D128:X128)</f>
        <v>25985110</v>
      </c>
      <c r="D128" s="77">
        <f>D112-D113</f>
        <v>16862000</v>
      </c>
      <c r="E128" s="76">
        <f t="shared" ref="E128:X128" si="95">E112-E113</f>
        <v>8978000</v>
      </c>
      <c r="F128" s="76">
        <f t="shared" si="95"/>
        <v>1813000</v>
      </c>
      <c r="G128" s="78">
        <f t="shared" si="95"/>
        <v>17912000</v>
      </c>
      <c r="H128" s="76">
        <f t="shared" si="95"/>
        <v>15283000</v>
      </c>
      <c r="I128" s="76">
        <f t="shared" si="95"/>
        <v>-420000</v>
      </c>
      <c r="J128" s="76">
        <f t="shared" si="95"/>
        <v>-2828000</v>
      </c>
      <c r="K128" s="76">
        <f t="shared" si="95"/>
        <v>-438100</v>
      </c>
      <c r="L128" s="76">
        <f t="shared" si="95"/>
        <v>-10107000</v>
      </c>
      <c r="M128" s="76">
        <f t="shared" si="95"/>
        <v>2867000</v>
      </c>
      <c r="N128" s="76">
        <f t="shared" si="95"/>
        <v>324000</v>
      </c>
      <c r="O128" s="76">
        <f t="shared" si="95"/>
        <v>-1223000</v>
      </c>
      <c r="P128" s="78">
        <f t="shared" si="95"/>
        <v>3486000</v>
      </c>
      <c r="Q128" s="76">
        <f t="shared" si="95"/>
        <v>-10488000</v>
      </c>
      <c r="R128" s="76">
        <f t="shared" si="95"/>
        <v>-5882000</v>
      </c>
      <c r="S128" s="76">
        <f t="shared" si="95"/>
        <v>12631000</v>
      </c>
      <c r="T128" s="76">
        <f t="shared" si="95"/>
        <v>14650000</v>
      </c>
      <c r="U128" s="76">
        <f t="shared" si="95"/>
        <v>-14252000</v>
      </c>
      <c r="V128" s="76">
        <f t="shared" si="95"/>
        <v>-2922000</v>
      </c>
      <c r="W128" s="76">
        <f t="shared" si="95"/>
        <v>-717000</v>
      </c>
      <c r="X128" s="76">
        <f t="shared" si="95"/>
        <v>-19543790</v>
      </c>
      <c r="Y128" s="80"/>
      <c r="Z128" s="81"/>
      <c r="AA128" s="81"/>
      <c r="AB128" s="81"/>
    </row>
    <row r="129" spans="1:29" s="44" customFormat="1" ht="25.5" customHeight="1" thickBot="1" x14ac:dyDescent="0.45">
      <c r="A129" s="174"/>
      <c r="B129" s="83" t="s">
        <v>54</v>
      </c>
      <c r="C129" s="84">
        <f>IFERROR(C111/C113,0)</f>
        <v>0.56186076711441979</v>
      </c>
      <c r="D129" s="85">
        <f>IFERROR(D112/D113,0)</f>
        <v>1.6387121212121212</v>
      </c>
      <c r="E129" s="84">
        <f t="shared" ref="E129:X129" si="96">IFERROR(E112/E113,0)</f>
        <v>1.3106574394463668</v>
      </c>
      <c r="F129" s="84">
        <f t="shared" si="96"/>
        <v>1.1760194174757281</v>
      </c>
      <c r="G129" s="86">
        <f t="shared" si="96"/>
        <v>1.3618585858585859</v>
      </c>
      <c r="H129" s="84">
        <f t="shared" si="96"/>
        <v>1.2000392670157067</v>
      </c>
      <c r="I129" s="84">
        <f t="shared" si="96"/>
        <v>0.98116591928251118</v>
      </c>
      <c r="J129" s="84">
        <f t="shared" si="96"/>
        <v>0.81987261146496815</v>
      </c>
      <c r="K129" s="84">
        <f t="shared" si="96"/>
        <v>0.98377407407407402</v>
      </c>
      <c r="L129" s="84">
        <f t="shared" si="96"/>
        <v>0.7253532608695652</v>
      </c>
      <c r="M129" s="84">
        <f t="shared" si="96"/>
        <v>1.1119921875000001</v>
      </c>
      <c r="N129" s="84">
        <f t="shared" si="96"/>
        <v>1.3240000000000001</v>
      </c>
      <c r="O129" s="84">
        <f t="shared" si="96"/>
        <v>0.235625</v>
      </c>
      <c r="P129" s="86">
        <f t="shared" si="96"/>
        <v>1.42</v>
      </c>
      <c r="Q129" s="84">
        <f t="shared" si="96"/>
        <v>0.59031250000000002</v>
      </c>
      <c r="R129" s="84">
        <f t="shared" si="96"/>
        <v>0.60786666666666667</v>
      </c>
      <c r="S129" s="84">
        <f t="shared" si="96"/>
        <v>1.1908006042296073</v>
      </c>
      <c r="T129" s="84">
        <f t="shared" si="96"/>
        <v>1.1760817307692308</v>
      </c>
      <c r="U129" s="84">
        <f t="shared" si="96"/>
        <v>0.7210958904109589</v>
      </c>
      <c r="V129" s="84">
        <f t="shared" si="96"/>
        <v>2.5999999999999999E-2</v>
      </c>
      <c r="W129" s="84">
        <f t="shared" si="96"/>
        <v>0.28299999999999997</v>
      </c>
      <c r="X129" s="84">
        <f t="shared" si="96"/>
        <v>0.54549325581395347</v>
      </c>
      <c r="Y129" s="88"/>
      <c r="Z129" s="43"/>
      <c r="AA129" s="43"/>
      <c r="AB129" s="43"/>
    </row>
    <row r="130" spans="1:29" s="20" customFormat="1" ht="25.5" customHeight="1" thickTop="1" x14ac:dyDescent="0.4">
      <c r="A130" s="172" t="s">
        <v>61</v>
      </c>
      <c r="B130" s="89" t="s">
        <v>29</v>
      </c>
      <c r="C130" s="90">
        <f t="shared" ref="C130:C136" si="97">SUM(D130:X130)</f>
        <v>365011600</v>
      </c>
      <c r="D130" s="91">
        <v>42150000</v>
      </c>
      <c r="E130" s="90">
        <v>68316800</v>
      </c>
      <c r="F130" s="92">
        <v>0</v>
      </c>
      <c r="G130" s="93">
        <v>0</v>
      </c>
      <c r="H130" s="92">
        <v>0</v>
      </c>
      <c r="I130" s="90">
        <v>30737300</v>
      </c>
      <c r="J130" s="92">
        <v>0</v>
      </c>
      <c r="K130" s="94">
        <v>76544000</v>
      </c>
      <c r="L130" s="90">
        <v>16126000</v>
      </c>
      <c r="M130" s="90">
        <v>22010500</v>
      </c>
      <c r="N130" s="90">
        <v>3805000</v>
      </c>
      <c r="O130" s="92"/>
      <c r="P130" s="93">
        <v>0</v>
      </c>
      <c r="Q130" s="94">
        <v>65375000</v>
      </c>
      <c r="R130" s="92"/>
      <c r="S130" s="94">
        <v>31880000</v>
      </c>
      <c r="T130" s="94">
        <v>8067000</v>
      </c>
      <c r="U130" s="92"/>
      <c r="V130" s="92"/>
      <c r="W130" s="92"/>
      <c r="X130" s="92"/>
      <c r="Y130" s="95"/>
      <c r="Z130" s="19"/>
      <c r="AA130" s="19"/>
      <c r="AB130" s="19"/>
    </row>
    <row r="131" spans="1:29" s="20" customFormat="1" ht="25.5" customHeight="1" x14ac:dyDescent="0.4">
      <c r="A131" s="173"/>
      <c r="B131" s="21" t="s">
        <v>30</v>
      </c>
      <c r="C131" s="22">
        <f t="shared" si="97"/>
        <v>81910200</v>
      </c>
      <c r="D131" s="23">
        <v>4699000</v>
      </c>
      <c r="E131" s="22">
        <v>2412000</v>
      </c>
      <c r="F131" s="22">
        <v>15774000</v>
      </c>
      <c r="G131" s="24">
        <v>0</v>
      </c>
      <c r="H131" s="25">
        <v>0</v>
      </c>
      <c r="I131" s="22">
        <v>7316700</v>
      </c>
      <c r="J131" s="25">
        <v>0</v>
      </c>
      <c r="K131" s="25">
        <v>0</v>
      </c>
      <c r="L131" s="22">
        <v>6377000</v>
      </c>
      <c r="M131" s="22">
        <v>13704500</v>
      </c>
      <c r="N131" s="22">
        <v>0</v>
      </c>
      <c r="O131" s="25"/>
      <c r="P131" s="24">
        <v>0</v>
      </c>
      <c r="Q131" s="26">
        <v>0</v>
      </c>
      <c r="R131" s="25"/>
      <c r="S131" s="26">
        <v>19849000</v>
      </c>
      <c r="T131" s="26">
        <v>11778000</v>
      </c>
      <c r="U131" s="25"/>
      <c r="V131" s="25"/>
      <c r="W131" s="25"/>
      <c r="X131" s="25"/>
      <c r="Y131" s="27"/>
    </row>
    <row r="132" spans="1:29" s="20" customFormat="1" ht="25.5" customHeight="1" x14ac:dyDescent="0.4">
      <c r="A132" s="173"/>
      <c r="B132" s="21" t="s">
        <v>31</v>
      </c>
      <c r="C132" s="22">
        <f t="shared" si="97"/>
        <v>174088000</v>
      </c>
      <c r="D132" s="23">
        <v>11649000</v>
      </c>
      <c r="E132" s="22">
        <v>20434000</v>
      </c>
      <c r="F132" s="22">
        <v>0</v>
      </c>
      <c r="G132" s="28">
        <v>20613000</v>
      </c>
      <c r="H132" s="25">
        <v>0</v>
      </c>
      <c r="I132" s="22">
        <v>25102700</v>
      </c>
      <c r="J132" s="25">
        <v>0</v>
      </c>
      <c r="K132" s="25">
        <v>0</v>
      </c>
      <c r="L132" s="22">
        <v>14605000</v>
      </c>
      <c r="M132" s="22">
        <v>19289500</v>
      </c>
      <c r="N132" s="22">
        <v>6754000</v>
      </c>
      <c r="O132" s="25"/>
      <c r="P132" s="29">
        <v>9888000</v>
      </c>
      <c r="Q132" s="26">
        <v>18722000</v>
      </c>
      <c r="R132" s="25"/>
      <c r="S132" s="26">
        <v>0</v>
      </c>
      <c r="T132" s="26">
        <v>27030800</v>
      </c>
      <c r="U132" s="25"/>
      <c r="V132" s="25"/>
      <c r="W132" s="25"/>
      <c r="X132" s="25"/>
      <c r="Y132" s="27"/>
      <c r="Z132" s="19">
        <f>IFERROR(#REF!/#REF!-1,0)</f>
        <v>0</v>
      </c>
      <c r="AA132" s="19">
        <f>IFERROR(C132/C131-1,0)</f>
        <v>1.1253519097743627</v>
      </c>
      <c r="AB132" s="19">
        <f>IFERROR(#REF!/#REF!-1,0)</f>
        <v>0</v>
      </c>
    </row>
    <row r="133" spans="1:29" s="20" customFormat="1" ht="25.5" customHeight="1" x14ac:dyDescent="0.4">
      <c r="A133" s="173"/>
      <c r="B133" s="96" t="s">
        <v>56</v>
      </c>
      <c r="C133" s="22">
        <f t="shared" si="97"/>
        <v>601692137</v>
      </c>
      <c r="D133" s="97">
        <v>57753400</v>
      </c>
      <c r="E133" s="98">
        <v>68587000</v>
      </c>
      <c r="F133" s="98">
        <v>32084000</v>
      </c>
      <c r="G133" s="99">
        <v>186397500</v>
      </c>
      <c r="H133" s="100">
        <v>0</v>
      </c>
      <c r="I133" s="100">
        <v>0</v>
      </c>
      <c r="J133" s="100">
        <v>0</v>
      </c>
      <c r="K133" s="100">
        <v>0</v>
      </c>
      <c r="L133" s="98">
        <v>30142000</v>
      </c>
      <c r="M133" s="98">
        <v>21637000</v>
      </c>
      <c r="N133" s="98">
        <v>5139000</v>
      </c>
      <c r="O133" s="100"/>
      <c r="P133" s="101">
        <v>22075000</v>
      </c>
      <c r="Q133" s="102">
        <v>43920000</v>
      </c>
      <c r="R133" s="100"/>
      <c r="S133" s="102">
        <v>51408000</v>
      </c>
      <c r="T133" s="102">
        <v>82549237</v>
      </c>
      <c r="U133" s="100"/>
      <c r="V133" s="100"/>
      <c r="W133" s="100"/>
      <c r="X133" s="100"/>
      <c r="Y133" s="103"/>
      <c r="Z133" s="19"/>
      <c r="AA133" s="19"/>
      <c r="AB133" s="19"/>
    </row>
    <row r="134" spans="1:29" s="44" customFormat="1" ht="25.5" customHeight="1" x14ac:dyDescent="0.4">
      <c r="A134" s="173"/>
      <c r="B134" s="21" t="s">
        <v>33</v>
      </c>
      <c r="C134" s="22">
        <f t="shared" si="97"/>
        <v>447393800</v>
      </c>
      <c r="D134" s="23">
        <v>55718000</v>
      </c>
      <c r="E134" s="22">
        <v>50745000</v>
      </c>
      <c r="F134" s="22">
        <v>24385000</v>
      </c>
      <c r="G134" s="28">
        <v>120805600</v>
      </c>
      <c r="H134" s="25">
        <v>0</v>
      </c>
      <c r="I134" s="25">
        <v>0</v>
      </c>
      <c r="J134" s="25">
        <v>0</v>
      </c>
      <c r="K134" s="104">
        <v>0</v>
      </c>
      <c r="L134" s="22">
        <v>20121000</v>
      </c>
      <c r="M134" s="22">
        <v>12845000</v>
      </c>
      <c r="N134" s="22">
        <v>4285000</v>
      </c>
      <c r="O134" s="25"/>
      <c r="P134" s="29">
        <v>28859000</v>
      </c>
      <c r="Q134" s="22">
        <v>13523200</v>
      </c>
      <c r="R134" s="25"/>
      <c r="S134" s="26">
        <v>45067000</v>
      </c>
      <c r="T134" s="22">
        <v>71040000</v>
      </c>
      <c r="U134" s="25"/>
      <c r="V134" s="25"/>
      <c r="W134" s="25"/>
      <c r="X134" s="25"/>
      <c r="Y134" s="105"/>
      <c r="Z134" s="43"/>
      <c r="AA134" s="43"/>
      <c r="AB134" s="43"/>
      <c r="AC134" s="20"/>
    </row>
    <row r="135" spans="1:29" s="20" customFormat="1" ht="25.5" customHeight="1" x14ac:dyDescent="0.4">
      <c r="A135" s="173"/>
      <c r="B135" s="30" t="s">
        <v>34</v>
      </c>
      <c r="C135" s="22">
        <f t="shared" si="97"/>
        <v>524796020</v>
      </c>
      <c r="D135" s="32">
        <v>56822000</v>
      </c>
      <c r="E135" s="31">
        <v>43205000</v>
      </c>
      <c r="F135" s="31">
        <v>0</v>
      </c>
      <c r="G135" s="33">
        <v>131357000</v>
      </c>
      <c r="H135" s="31">
        <v>83986000</v>
      </c>
      <c r="I135" s="34">
        <v>0</v>
      </c>
      <c r="J135" s="34">
        <v>0</v>
      </c>
      <c r="K135" s="34"/>
      <c r="L135" s="31">
        <v>16219000</v>
      </c>
      <c r="M135" s="31">
        <v>14776000</v>
      </c>
      <c r="N135" s="31">
        <v>4335000</v>
      </c>
      <c r="O135" s="31">
        <v>5997000</v>
      </c>
      <c r="P135" s="33">
        <v>21927000</v>
      </c>
      <c r="Q135" s="34">
        <v>0</v>
      </c>
      <c r="R135" s="34"/>
      <c r="S135" s="35">
        <v>38184000</v>
      </c>
      <c r="T135" s="31">
        <v>65899000</v>
      </c>
      <c r="U135" s="34"/>
      <c r="V135" s="34"/>
      <c r="W135" s="34"/>
      <c r="X135" s="31">
        <v>42089020</v>
      </c>
      <c r="Y135" s="36"/>
      <c r="Z135" s="19"/>
      <c r="AA135" s="19"/>
      <c r="AB135" s="19"/>
    </row>
    <row r="136" spans="1:29" s="20" customFormat="1" ht="25.5" customHeight="1" x14ac:dyDescent="0.4">
      <c r="A136" s="173"/>
      <c r="B136" s="30" t="s">
        <v>57</v>
      </c>
      <c r="C136" s="31">
        <f t="shared" si="97"/>
        <v>691128878</v>
      </c>
      <c r="D136" s="32">
        <v>40769000</v>
      </c>
      <c r="E136" s="31">
        <v>33235000</v>
      </c>
      <c r="F136" s="31">
        <v>21431000</v>
      </c>
      <c r="G136" s="33">
        <v>102407200</v>
      </c>
      <c r="H136" s="31">
        <v>95424000</v>
      </c>
      <c r="I136" s="34">
        <v>0</v>
      </c>
      <c r="J136" s="34">
        <v>0</v>
      </c>
      <c r="K136" s="31">
        <v>0</v>
      </c>
      <c r="L136" s="31">
        <v>24595000</v>
      </c>
      <c r="M136" s="31">
        <v>13792500</v>
      </c>
      <c r="N136" s="31">
        <v>2208000</v>
      </c>
      <c r="O136" s="31">
        <v>438000</v>
      </c>
      <c r="P136" s="33">
        <v>14278000</v>
      </c>
      <c r="Q136" s="34">
        <v>0</v>
      </c>
      <c r="R136" s="34"/>
      <c r="S136" s="31">
        <v>49073000</v>
      </c>
      <c r="T136" s="31">
        <v>0</v>
      </c>
      <c r="U136" s="31">
        <v>36942000</v>
      </c>
      <c r="V136" s="34">
        <v>0</v>
      </c>
      <c r="W136" s="31">
        <v>0</v>
      </c>
      <c r="X136" s="31">
        <v>256536178</v>
      </c>
      <c r="Y136" s="36"/>
      <c r="Z136" s="19"/>
      <c r="AA136" s="19"/>
      <c r="AB136" s="19"/>
    </row>
    <row r="137" spans="1:29" s="44" customFormat="1" ht="25.5" customHeight="1" x14ac:dyDescent="0.4">
      <c r="A137" s="173"/>
      <c r="B137" s="37" t="s">
        <v>36</v>
      </c>
      <c r="C137" s="38">
        <f t="shared" ref="C137:C138" si="98">SUM(D137:X137)</f>
        <v>697574860</v>
      </c>
      <c r="D137" s="39">
        <v>43447000</v>
      </c>
      <c r="E137" s="38">
        <v>26674000</v>
      </c>
      <c r="F137" s="38">
        <v>12009000</v>
      </c>
      <c r="G137" s="40">
        <v>105137500</v>
      </c>
      <c r="H137" s="38">
        <v>97136100</v>
      </c>
      <c r="I137" s="38">
        <v>20581000</v>
      </c>
      <c r="J137" s="38">
        <v>15474800</v>
      </c>
      <c r="K137" s="38">
        <v>24715000</v>
      </c>
      <c r="L137" s="38">
        <v>21077000</v>
      </c>
      <c r="M137" s="38">
        <v>30146000</v>
      </c>
      <c r="N137" s="38">
        <v>2161000</v>
      </c>
      <c r="O137" s="38">
        <v>517000</v>
      </c>
      <c r="P137" s="40">
        <v>11211000</v>
      </c>
      <c r="Q137" s="38">
        <v>14638000</v>
      </c>
      <c r="R137" s="38">
        <v>9428000</v>
      </c>
      <c r="S137" s="38">
        <v>60868000</v>
      </c>
      <c r="T137" s="38">
        <v>74660000</v>
      </c>
      <c r="U137" s="38">
        <v>38674000</v>
      </c>
      <c r="V137" s="38">
        <v>72000</v>
      </c>
      <c r="W137" s="38">
        <v>351000</v>
      </c>
      <c r="X137" s="38">
        <v>88597460</v>
      </c>
      <c r="Y137" s="42"/>
      <c r="Z137" s="43"/>
      <c r="AA137" s="43"/>
      <c r="AB137" s="43"/>
    </row>
    <row r="138" spans="1:29" s="44" customFormat="1" ht="25.5" customHeight="1" x14ac:dyDescent="0.4">
      <c r="A138" s="173"/>
      <c r="B138" s="45" t="s">
        <v>37</v>
      </c>
      <c r="C138" s="46">
        <f t="shared" si="98"/>
        <v>1066000000</v>
      </c>
      <c r="D138" s="47">
        <f>ROUNDUP(D136*102%,-5)</f>
        <v>41600000</v>
      </c>
      <c r="E138" s="46">
        <f t="shared" ref="E138" si="99">ROUNDUP(E136*102%,-5)</f>
        <v>33900000</v>
      </c>
      <c r="F138" s="46">
        <f>ROUNDUP(F136*102%,-5)</f>
        <v>21900000</v>
      </c>
      <c r="G138" s="48">
        <f>ROUNDUP(G136*104%,-5)</f>
        <v>106600000</v>
      </c>
      <c r="H138" s="46">
        <f>ROUNDUP(H136*105%,-5)</f>
        <v>100200000</v>
      </c>
      <c r="I138" s="50">
        <f>ROUNDUP(I130*102%,-5)</f>
        <v>31400000</v>
      </c>
      <c r="J138" s="50">
        <f>ROUNDUP(I138*70%,-5)</f>
        <v>22000000</v>
      </c>
      <c r="K138" s="46">
        <f>ROUNDUP(K130*70%,-5)</f>
        <v>53600000</v>
      </c>
      <c r="L138" s="50">
        <f>ROUNDUP(L136*250%,-5)</f>
        <v>61500000</v>
      </c>
      <c r="M138" s="50">
        <f>ROUNDUP(M136*250%,-5)</f>
        <v>34500000</v>
      </c>
      <c r="N138" s="46">
        <f t="shared" ref="N138:P138" si="100">ROUNDUP(N136*102%,-5)</f>
        <v>2300000</v>
      </c>
      <c r="O138" s="46">
        <f t="shared" si="100"/>
        <v>500000</v>
      </c>
      <c r="P138" s="48">
        <f t="shared" si="100"/>
        <v>14600000</v>
      </c>
      <c r="Q138" s="50">
        <f>ROUNDUP(U138*50%,-5)</f>
        <v>27800000</v>
      </c>
      <c r="R138" s="50">
        <v>20000000</v>
      </c>
      <c r="S138" s="50">
        <f>ROUNDUP(S136*130%,-5)</f>
        <v>63800000</v>
      </c>
      <c r="T138" s="50">
        <f>ROUNDUP(T135*150%,-5)</f>
        <v>98900000</v>
      </c>
      <c r="U138" s="50">
        <f>ROUNDUP(U136*150%,-5)</f>
        <v>55500000</v>
      </c>
      <c r="V138" s="50">
        <v>5000000</v>
      </c>
      <c r="W138" s="50">
        <v>1000000</v>
      </c>
      <c r="X138" s="46">
        <f>ROUNDUP(X136*105%,-5)</f>
        <v>269400000</v>
      </c>
      <c r="Y138" s="51" t="s">
        <v>38</v>
      </c>
      <c r="Z138" s="43"/>
      <c r="AA138" s="43">
        <f>D138/D130</f>
        <v>0.98695136417556351</v>
      </c>
      <c r="AB138" s="43"/>
    </row>
    <row r="139" spans="1:29" s="59" customFormat="1" ht="25.5" customHeight="1" x14ac:dyDescent="0.4">
      <c r="A139" s="173"/>
      <c r="B139" s="12" t="s">
        <v>39</v>
      </c>
      <c r="C139" s="52">
        <f>SUM(D139:X139)</f>
        <v>332563260</v>
      </c>
      <c r="D139" s="53">
        <f>D137-D130</f>
        <v>1297000</v>
      </c>
      <c r="E139" s="52">
        <f t="shared" ref="E139:X139" si="101">E137-E130</f>
        <v>-41642800</v>
      </c>
      <c r="F139" s="54">
        <f t="shared" si="101"/>
        <v>12009000</v>
      </c>
      <c r="G139" s="55">
        <f t="shared" si="101"/>
        <v>105137500</v>
      </c>
      <c r="H139" s="54">
        <f t="shared" si="101"/>
        <v>97136100</v>
      </c>
      <c r="I139" s="52">
        <f t="shared" si="101"/>
        <v>-10156300</v>
      </c>
      <c r="J139" s="52">
        <f t="shared" si="101"/>
        <v>15474800</v>
      </c>
      <c r="K139" s="56">
        <f t="shared" si="101"/>
        <v>-51829000</v>
      </c>
      <c r="L139" s="52">
        <f t="shared" si="101"/>
        <v>4951000</v>
      </c>
      <c r="M139" s="52">
        <f t="shared" si="101"/>
        <v>8135500</v>
      </c>
      <c r="N139" s="52">
        <f t="shared" si="101"/>
        <v>-1644000</v>
      </c>
      <c r="O139" s="54">
        <f t="shared" si="101"/>
        <v>517000</v>
      </c>
      <c r="P139" s="55">
        <f t="shared" si="101"/>
        <v>11211000</v>
      </c>
      <c r="Q139" s="56">
        <f t="shared" si="101"/>
        <v>-50737000</v>
      </c>
      <c r="R139" s="54">
        <f t="shared" si="101"/>
        <v>9428000</v>
      </c>
      <c r="S139" s="56">
        <f t="shared" si="101"/>
        <v>28988000</v>
      </c>
      <c r="T139" s="56">
        <f t="shared" si="101"/>
        <v>66593000</v>
      </c>
      <c r="U139" s="54">
        <f t="shared" si="101"/>
        <v>38674000</v>
      </c>
      <c r="V139" s="54">
        <f t="shared" si="101"/>
        <v>72000</v>
      </c>
      <c r="W139" s="54">
        <f t="shared" si="101"/>
        <v>351000</v>
      </c>
      <c r="X139" s="54">
        <f t="shared" si="101"/>
        <v>88597460</v>
      </c>
      <c r="Y139" s="57"/>
      <c r="Z139" s="58"/>
      <c r="AA139" s="58"/>
      <c r="AB139" s="58"/>
    </row>
    <row r="140" spans="1:29" s="20" customFormat="1" ht="25.5" customHeight="1" x14ac:dyDescent="0.4">
      <c r="A140" s="173"/>
      <c r="B140" s="21" t="s">
        <v>40</v>
      </c>
      <c r="C140" s="60">
        <f>IFERROR(C136/C130,0)</f>
        <v>1.8934436001485979</v>
      </c>
      <c r="D140" s="61">
        <f>IFERROR(D137/D130,0)</f>
        <v>1.0307710557532621</v>
      </c>
      <c r="E140" s="60">
        <f t="shared" ref="E140:X140" si="102">IFERROR(E137/E130,0)</f>
        <v>0.39044568832263804</v>
      </c>
      <c r="F140" s="62">
        <f t="shared" si="102"/>
        <v>0</v>
      </c>
      <c r="G140" s="63">
        <f t="shared" si="102"/>
        <v>0</v>
      </c>
      <c r="H140" s="62">
        <f t="shared" si="102"/>
        <v>0</v>
      </c>
      <c r="I140" s="60">
        <f t="shared" si="102"/>
        <v>0.66957735389900874</v>
      </c>
      <c r="J140" s="60">
        <f t="shared" si="102"/>
        <v>0</v>
      </c>
      <c r="K140" s="64">
        <f t="shared" si="102"/>
        <v>0.32288618311036787</v>
      </c>
      <c r="L140" s="60">
        <f t="shared" si="102"/>
        <v>1.307019719707305</v>
      </c>
      <c r="M140" s="60">
        <f t="shared" si="102"/>
        <v>1.3696190454555781</v>
      </c>
      <c r="N140" s="60">
        <f t="shared" si="102"/>
        <v>0.56793692509855453</v>
      </c>
      <c r="O140" s="62">
        <f t="shared" si="102"/>
        <v>0</v>
      </c>
      <c r="P140" s="63">
        <f t="shared" si="102"/>
        <v>0</v>
      </c>
      <c r="Q140" s="64">
        <f t="shared" si="102"/>
        <v>0.22390822179732314</v>
      </c>
      <c r="R140" s="62">
        <f t="shared" si="102"/>
        <v>0</v>
      </c>
      <c r="S140" s="64">
        <f t="shared" si="102"/>
        <v>1.9092848180677542</v>
      </c>
      <c r="T140" s="64">
        <f t="shared" si="102"/>
        <v>9.2549894632453196</v>
      </c>
      <c r="U140" s="62">
        <f t="shared" si="102"/>
        <v>0</v>
      </c>
      <c r="V140" s="62">
        <f t="shared" si="102"/>
        <v>0</v>
      </c>
      <c r="W140" s="62">
        <f t="shared" si="102"/>
        <v>0</v>
      </c>
      <c r="X140" s="62">
        <f t="shared" si="102"/>
        <v>0</v>
      </c>
      <c r="Y140" s="65"/>
      <c r="Z140" s="19"/>
      <c r="AA140" s="19"/>
      <c r="AB140" s="19"/>
    </row>
    <row r="141" spans="1:29" s="59" customFormat="1" ht="25.5" customHeight="1" x14ac:dyDescent="0.4">
      <c r="A141" s="173"/>
      <c r="B141" s="21" t="s">
        <v>41</v>
      </c>
      <c r="C141" s="66">
        <f>SUM(D141:X141)</f>
        <v>615664660</v>
      </c>
      <c r="D141" s="67">
        <f>D137-D131</f>
        <v>38748000</v>
      </c>
      <c r="E141" s="66">
        <f t="shared" ref="E141:X141" si="103">E137-E131</f>
        <v>24262000</v>
      </c>
      <c r="F141" s="66">
        <f t="shared" si="103"/>
        <v>-3765000</v>
      </c>
      <c r="G141" s="68">
        <f t="shared" si="103"/>
        <v>105137500</v>
      </c>
      <c r="H141" s="69">
        <f t="shared" si="103"/>
        <v>97136100</v>
      </c>
      <c r="I141" s="66">
        <f t="shared" si="103"/>
        <v>13264300</v>
      </c>
      <c r="J141" s="69">
        <f t="shared" si="103"/>
        <v>15474800</v>
      </c>
      <c r="K141" s="70">
        <f t="shared" si="103"/>
        <v>24715000</v>
      </c>
      <c r="L141" s="66">
        <f t="shared" si="103"/>
        <v>14700000</v>
      </c>
      <c r="M141" s="66">
        <f t="shared" si="103"/>
        <v>16441500</v>
      </c>
      <c r="N141" s="66">
        <f t="shared" si="103"/>
        <v>2161000</v>
      </c>
      <c r="O141" s="69">
        <f t="shared" si="103"/>
        <v>517000</v>
      </c>
      <c r="P141" s="68">
        <f t="shared" si="103"/>
        <v>11211000</v>
      </c>
      <c r="Q141" s="70">
        <f t="shared" si="103"/>
        <v>14638000</v>
      </c>
      <c r="R141" s="69">
        <f t="shared" si="103"/>
        <v>9428000</v>
      </c>
      <c r="S141" s="70">
        <f t="shared" si="103"/>
        <v>41019000</v>
      </c>
      <c r="T141" s="70">
        <f t="shared" si="103"/>
        <v>62882000</v>
      </c>
      <c r="U141" s="69">
        <f t="shared" si="103"/>
        <v>38674000</v>
      </c>
      <c r="V141" s="69">
        <f t="shared" si="103"/>
        <v>72000</v>
      </c>
      <c r="W141" s="69">
        <f t="shared" si="103"/>
        <v>351000</v>
      </c>
      <c r="X141" s="69">
        <f t="shared" si="103"/>
        <v>88597460</v>
      </c>
      <c r="Y141" s="27"/>
      <c r="Z141" s="58"/>
      <c r="AA141" s="58"/>
      <c r="AB141" s="58"/>
    </row>
    <row r="142" spans="1:29" s="20" customFormat="1" ht="25.5" customHeight="1" x14ac:dyDescent="0.4">
      <c r="A142" s="173"/>
      <c r="B142" s="21" t="s">
        <v>42</v>
      </c>
      <c r="C142" s="60">
        <f>IFERROR(C136/C131,0)</f>
        <v>8.4376411973112013</v>
      </c>
      <c r="D142" s="61">
        <f>IFERROR(D137/D131,0)</f>
        <v>9.2460097893168758</v>
      </c>
      <c r="E142" s="60">
        <f t="shared" ref="E142:X142" si="104">IFERROR(E137/E131,0)</f>
        <v>11.058872305140962</v>
      </c>
      <c r="F142" s="60">
        <f t="shared" si="104"/>
        <v>0.7613160897679726</v>
      </c>
      <c r="G142" s="63">
        <f t="shared" si="104"/>
        <v>0</v>
      </c>
      <c r="H142" s="62">
        <f t="shared" si="104"/>
        <v>0</v>
      </c>
      <c r="I142" s="60">
        <f t="shared" si="104"/>
        <v>2.8128801235529677</v>
      </c>
      <c r="J142" s="62">
        <f t="shared" si="104"/>
        <v>0</v>
      </c>
      <c r="K142" s="64">
        <f t="shared" si="104"/>
        <v>0</v>
      </c>
      <c r="L142" s="60">
        <f t="shared" si="104"/>
        <v>3.3051591657519208</v>
      </c>
      <c r="M142" s="60">
        <f t="shared" si="104"/>
        <v>2.1997154219416979</v>
      </c>
      <c r="N142" s="60">
        <f t="shared" si="104"/>
        <v>0</v>
      </c>
      <c r="O142" s="62">
        <f t="shared" si="104"/>
        <v>0</v>
      </c>
      <c r="P142" s="63">
        <f t="shared" si="104"/>
        <v>0</v>
      </c>
      <c r="Q142" s="64">
        <f t="shared" si="104"/>
        <v>0</v>
      </c>
      <c r="R142" s="62">
        <f t="shared" si="104"/>
        <v>0</v>
      </c>
      <c r="S142" s="64">
        <f t="shared" si="104"/>
        <v>3.0665524711572369</v>
      </c>
      <c r="T142" s="64">
        <f t="shared" si="104"/>
        <v>6.3389370011886568</v>
      </c>
      <c r="U142" s="62">
        <f t="shared" si="104"/>
        <v>0</v>
      </c>
      <c r="V142" s="62">
        <f t="shared" si="104"/>
        <v>0</v>
      </c>
      <c r="W142" s="62">
        <f t="shared" si="104"/>
        <v>0</v>
      </c>
      <c r="X142" s="62">
        <f t="shared" si="104"/>
        <v>0</v>
      </c>
      <c r="Y142" s="65"/>
      <c r="Z142" s="19"/>
      <c r="AA142" s="19"/>
      <c r="AB142" s="19"/>
    </row>
    <row r="143" spans="1:29" s="59" customFormat="1" ht="25.5" customHeight="1" x14ac:dyDescent="0.4">
      <c r="A143" s="173"/>
      <c r="B143" s="21" t="s">
        <v>43</v>
      </c>
      <c r="C143" s="66">
        <f>SUM(D143:X143)</f>
        <v>523486860</v>
      </c>
      <c r="D143" s="67">
        <f>D137-D132</f>
        <v>31798000</v>
      </c>
      <c r="E143" s="66">
        <f t="shared" ref="E143:X143" si="105">E137-E132</f>
        <v>6240000</v>
      </c>
      <c r="F143" s="66">
        <f t="shared" si="105"/>
        <v>12009000</v>
      </c>
      <c r="G143" s="71">
        <f t="shared" si="105"/>
        <v>84524500</v>
      </c>
      <c r="H143" s="69">
        <f t="shared" si="105"/>
        <v>97136100</v>
      </c>
      <c r="I143" s="66">
        <f t="shared" si="105"/>
        <v>-4521700</v>
      </c>
      <c r="J143" s="69">
        <f t="shared" si="105"/>
        <v>15474800</v>
      </c>
      <c r="K143" s="25">
        <f t="shared" si="105"/>
        <v>24715000</v>
      </c>
      <c r="L143" s="66">
        <f t="shared" si="105"/>
        <v>6472000</v>
      </c>
      <c r="M143" s="66">
        <f t="shared" si="105"/>
        <v>10856500</v>
      </c>
      <c r="N143" s="66">
        <f t="shared" si="105"/>
        <v>-4593000</v>
      </c>
      <c r="O143" s="69">
        <f t="shared" si="105"/>
        <v>517000</v>
      </c>
      <c r="P143" s="72">
        <f t="shared" si="105"/>
        <v>1323000</v>
      </c>
      <c r="Q143" s="70">
        <f t="shared" si="105"/>
        <v>-4084000</v>
      </c>
      <c r="R143" s="69">
        <f t="shared" si="105"/>
        <v>9428000</v>
      </c>
      <c r="S143" s="70">
        <f t="shared" si="105"/>
        <v>60868000</v>
      </c>
      <c r="T143" s="70">
        <f t="shared" si="105"/>
        <v>47629200</v>
      </c>
      <c r="U143" s="69">
        <f t="shared" si="105"/>
        <v>38674000</v>
      </c>
      <c r="V143" s="69">
        <f t="shared" si="105"/>
        <v>72000</v>
      </c>
      <c r="W143" s="69">
        <f t="shared" si="105"/>
        <v>351000</v>
      </c>
      <c r="X143" s="69">
        <f t="shared" si="105"/>
        <v>88597460</v>
      </c>
      <c r="Y143" s="27"/>
      <c r="Z143" s="58"/>
      <c r="AA143" s="58"/>
      <c r="AB143" s="58"/>
    </row>
    <row r="144" spans="1:29" s="20" customFormat="1" ht="25.5" customHeight="1" x14ac:dyDescent="0.4">
      <c r="A144" s="173"/>
      <c r="B144" s="21" t="s">
        <v>44</v>
      </c>
      <c r="C144" s="60">
        <f>IFERROR(C136/C132,0)</f>
        <v>3.9699972312853271</v>
      </c>
      <c r="D144" s="61">
        <f>IFERROR(D137/D132,0)</f>
        <v>3.7296763670701347</v>
      </c>
      <c r="E144" s="60">
        <f t="shared" ref="E144:X144" si="106">IFERROR(E137/E132,0)</f>
        <v>1.3053733972790447</v>
      </c>
      <c r="F144" s="60">
        <f t="shared" si="106"/>
        <v>0</v>
      </c>
      <c r="G144" s="73">
        <f t="shared" si="106"/>
        <v>5.1005433464318637</v>
      </c>
      <c r="H144" s="62">
        <f t="shared" si="106"/>
        <v>0</v>
      </c>
      <c r="I144" s="60">
        <f t="shared" si="106"/>
        <v>0.81987196596382061</v>
      </c>
      <c r="J144" s="62">
        <f t="shared" si="106"/>
        <v>0</v>
      </c>
      <c r="K144" s="62">
        <f t="shared" si="106"/>
        <v>0</v>
      </c>
      <c r="L144" s="60">
        <f t="shared" si="106"/>
        <v>1.4431359123587812</v>
      </c>
      <c r="M144" s="60">
        <f t="shared" si="106"/>
        <v>1.5628191503149382</v>
      </c>
      <c r="N144" s="60">
        <f t="shared" si="106"/>
        <v>0.31995854308557892</v>
      </c>
      <c r="O144" s="62">
        <f t="shared" si="106"/>
        <v>0</v>
      </c>
      <c r="P144" s="74">
        <f t="shared" si="106"/>
        <v>1.1337985436893203</v>
      </c>
      <c r="Q144" s="64">
        <f t="shared" si="106"/>
        <v>0.78186091229569488</v>
      </c>
      <c r="R144" s="62">
        <f t="shared" si="106"/>
        <v>0</v>
      </c>
      <c r="S144" s="64">
        <f t="shared" si="106"/>
        <v>0</v>
      </c>
      <c r="T144" s="64">
        <f t="shared" si="106"/>
        <v>2.7620344199949689</v>
      </c>
      <c r="U144" s="62">
        <f t="shared" si="106"/>
        <v>0</v>
      </c>
      <c r="V144" s="62">
        <f t="shared" si="106"/>
        <v>0</v>
      </c>
      <c r="W144" s="62">
        <f t="shared" si="106"/>
        <v>0</v>
      </c>
      <c r="X144" s="62">
        <f t="shared" si="106"/>
        <v>0</v>
      </c>
      <c r="Y144" s="65"/>
      <c r="Z144" s="19"/>
      <c r="AA144" s="19"/>
      <c r="AB144" s="19"/>
    </row>
    <row r="145" spans="1:29" s="59" customFormat="1" ht="25.5" customHeight="1" x14ac:dyDescent="0.4">
      <c r="A145" s="173"/>
      <c r="B145" s="21" t="s">
        <v>45</v>
      </c>
      <c r="C145" s="66">
        <f>SUM(D145:X145)</f>
        <v>95882723</v>
      </c>
      <c r="D145" s="67">
        <f>D137-D133</f>
        <v>-14306400</v>
      </c>
      <c r="E145" s="66">
        <f t="shared" ref="E145:X145" si="107">E137-E133</f>
        <v>-41913000</v>
      </c>
      <c r="F145" s="66">
        <f t="shared" si="107"/>
        <v>-20075000</v>
      </c>
      <c r="G145" s="71">
        <f t="shared" si="107"/>
        <v>-81260000</v>
      </c>
      <c r="H145" s="69">
        <f t="shared" si="107"/>
        <v>97136100</v>
      </c>
      <c r="I145" s="66">
        <f t="shared" si="107"/>
        <v>20581000</v>
      </c>
      <c r="J145" s="69">
        <f t="shared" si="107"/>
        <v>15474800</v>
      </c>
      <c r="K145" s="25">
        <f t="shared" si="107"/>
        <v>24715000</v>
      </c>
      <c r="L145" s="66">
        <f t="shared" si="107"/>
        <v>-9065000</v>
      </c>
      <c r="M145" s="66">
        <f t="shared" si="107"/>
        <v>8509000</v>
      </c>
      <c r="N145" s="66">
        <f t="shared" si="107"/>
        <v>-2978000</v>
      </c>
      <c r="O145" s="69">
        <f t="shared" si="107"/>
        <v>517000</v>
      </c>
      <c r="P145" s="72">
        <f t="shared" si="107"/>
        <v>-10864000</v>
      </c>
      <c r="Q145" s="70">
        <f t="shared" si="107"/>
        <v>-29282000</v>
      </c>
      <c r="R145" s="69">
        <f t="shared" si="107"/>
        <v>9428000</v>
      </c>
      <c r="S145" s="70">
        <f t="shared" si="107"/>
        <v>9460000</v>
      </c>
      <c r="T145" s="70">
        <f t="shared" si="107"/>
        <v>-7889237</v>
      </c>
      <c r="U145" s="69">
        <f t="shared" si="107"/>
        <v>38674000</v>
      </c>
      <c r="V145" s="69">
        <f t="shared" si="107"/>
        <v>72000</v>
      </c>
      <c r="W145" s="69">
        <f t="shared" si="107"/>
        <v>351000</v>
      </c>
      <c r="X145" s="69">
        <f t="shared" si="107"/>
        <v>88597460</v>
      </c>
      <c r="Y145" s="27"/>
      <c r="Z145" s="58"/>
      <c r="AA145" s="58"/>
      <c r="AB145" s="58"/>
    </row>
    <row r="146" spans="1:29" s="20" customFormat="1" ht="25.5" customHeight="1" x14ac:dyDescent="0.4">
      <c r="A146" s="173"/>
      <c r="B146" s="21" t="s">
        <v>46</v>
      </c>
      <c r="C146" s="60">
        <f>IFERROR(C136/C133,0)</f>
        <v>1.148642030533964</v>
      </c>
      <c r="D146" s="61">
        <f>IFERROR(D137/D133,0)</f>
        <v>0.75228471397354957</v>
      </c>
      <c r="E146" s="60">
        <f t="shared" ref="E146:X146" si="108">IFERROR(E137/E133,0)</f>
        <v>0.38890751891757913</v>
      </c>
      <c r="F146" s="60">
        <f t="shared" si="108"/>
        <v>0.37429871587083907</v>
      </c>
      <c r="G146" s="73">
        <f t="shared" si="108"/>
        <v>0.56404994702182165</v>
      </c>
      <c r="H146" s="62">
        <f t="shared" si="108"/>
        <v>0</v>
      </c>
      <c r="I146" s="60">
        <f t="shared" si="108"/>
        <v>0</v>
      </c>
      <c r="J146" s="62">
        <f t="shared" si="108"/>
        <v>0</v>
      </c>
      <c r="K146" s="62">
        <f t="shared" si="108"/>
        <v>0</v>
      </c>
      <c r="L146" s="60">
        <f t="shared" si="108"/>
        <v>0.69925685090571299</v>
      </c>
      <c r="M146" s="60">
        <f t="shared" si="108"/>
        <v>1.3932615427277348</v>
      </c>
      <c r="N146" s="60">
        <f t="shared" si="108"/>
        <v>0.42050982681455534</v>
      </c>
      <c r="O146" s="62">
        <f t="shared" si="108"/>
        <v>0</v>
      </c>
      <c r="P146" s="74">
        <f t="shared" si="108"/>
        <v>0.50785956964892409</v>
      </c>
      <c r="Q146" s="64">
        <f t="shared" si="108"/>
        <v>0.33328779599271402</v>
      </c>
      <c r="R146" s="62">
        <f t="shared" si="108"/>
        <v>0</v>
      </c>
      <c r="S146" s="64">
        <f t="shared" si="108"/>
        <v>1.1840180516651104</v>
      </c>
      <c r="T146" s="64">
        <f t="shared" si="108"/>
        <v>0.90442992222932361</v>
      </c>
      <c r="U146" s="62">
        <f t="shared" si="108"/>
        <v>0</v>
      </c>
      <c r="V146" s="62">
        <f t="shared" si="108"/>
        <v>0</v>
      </c>
      <c r="W146" s="62">
        <f t="shared" si="108"/>
        <v>0</v>
      </c>
      <c r="X146" s="62">
        <f t="shared" si="108"/>
        <v>0</v>
      </c>
      <c r="Y146" s="65"/>
      <c r="Z146" s="19"/>
      <c r="AA146" s="19"/>
      <c r="AB146" s="19"/>
    </row>
    <row r="147" spans="1:29" s="59" customFormat="1" ht="25.5" customHeight="1" x14ac:dyDescent="0.4">
      <c r="A147" s="173"/>
      <c r="B147" s="21" t="s">
        <v>47</v>
      </c>
      <c r="C147" s="66">
        <f>SUM(D147:X147)</f>
        <v>250181060</v>
      </c>
      <c r="D147" s="67">
        <f>D137-D134</f>
        <v>-12271000</v>
      </c>
      <c r="E147" s="66">
        <f t="shared" ref="E147:X147" si="109">E137-E134</f>
        <v>-24071000</v>
      </c>
      <c r="F147" s="66">
        <f t="shared" si="109"/>
        <v>-12376000</v>
      </c>
      <c r="G147" s="71">
        <f t="shared" si="109"/>
        <v>-15668100</v>
      </c>
      <c r="H147" s="69">
        <f t="shared" si="109"/>
        <v>97136100</v>
      </c>
      <c r="I147" s="69">
        <f t="shared" si="109"/>
        <v>20581000</v>
      </c>
      <c r="J147" s="69">
        <f t="shared" si="109"/>
        <v>15474800</v>
      </c>
      <c r="K147" s="25">
        <f t="shared" si="109"/>
        <v>24715000</v>
      </c>
      <c r="L147" s="66">
        <f t="shared" si="109"/>
        <v>956000</v>
      </c>
      <c r="M147" s="66">
        <f t="shared" si="109"/>
        <v>17301000</v>
      </c>
      <c r="N147" s="66">
        <f t="shared" si="109"/>
        <v>-2124000</v>
      </c>
      <c r="O147" s="69">
        <f t="shared" si="109"/>
        <v>517000</v>
      </c>
      <c r="P147" s="72">
        <f t="shared" si="109"/>
        <v>-17648000</v>
      </c>
      <c r="Q147" s="66">
        <f t="shared" si="109"/>
        <v>1114800</v>
      </c>
      <c r="R147" s="69">
        <f t="shared" si="109"/>
        <v>9428000</v>
      </c>
      <c r="S147" s="70">
        <f t="shared" si="109"/>
        <v>15801000</v>
      </c>
      <c r="T147" s="66">
        <f t="shared" si="109"/>
        <v>3620000</v>
      </c>
      <c r="U147" s="69">
        <f t="shared" si="109"/>
        <v>38674000</v>
      </c>
      <c r="V147" s="69">
        <f t="shared" si="109"/>
        <v>72000</v>
      </c>
      <c r="W147" s="69">
        <f t="shared" si="109"/>
        <v>351000</v>
      </c>
      <c r="X147" s="69">
        <f t="shared" si="109"/>
        <v>88597460</v>
      </c>
      <c r="Y147" s="27"/>
      <c r="Z147" s="58"/>
      <c r="AA147" s="58"/>
      <c r="AB147" s="58"/>
    </row>
    <row r="148" spans="1:29" s="20" customFormat="1" ht="25.5" customHeight="1" x14ac:dyDescent="0.4">
      <c r="A148" s="173"/>
      <c r="B148" s="21" t="s">
        <v>48</v>
      </c>
      <c r="C148" s="60">
        <f>IFERROR(C136/C134,0)</f>
        <v>1.5447886805762618</v>
      </c>
      <c r="D148" s="61">
        <f>IFERROR(D137/D134,0)</f>
        <v>0.77976596432032741</v>
      </c>
      <c r="E148" s="60">
        <f t="shared" ref="E148:X148" si="110">IFERROR(E137/E134,0)</f>
        <v>0.52564784707852985</v>
      </c>
      <c r="F148" s="60">
        <f t="shared" si="110"/>
        <v>0.4924748820996514</v>
      </c>
      <c r="G148" s="73">
        <f t="shared" si="110"/>
        <v>0.87030319786499966</v>
      </c>
      <c r="H148" s="62">
        <f t="shared" si="110"/>
        <v>0</v>
      </c>
      <c r="I148" s="62">
        <f t="shared" si="110"/>
        <v>0</v>
      </c>
      <c r="J148" s="62">
        <f t="shared" si="110"/>
        <v>0</v>
      </c>
      <c r="K148" s="62">
        <f t="shared" si="110"/>
        <v>0</v>
      </c>
      <c r="L148" s="60">
        <f t="shared" si="110"/>
        <v>1.0475125490780777</v>
      </c>
      <c r="M148" s="60">
        <f t="shared" si="110"/>
        <v>2.3469054106656286</v>
      </c>
      <c r="N148" s="60">
        <f t="shared" si="110"/>
        <v>0.5043173862310385</v>
      </c>
      <c r="O148" s="62">
        <f t="shared" si="110"/>
        <v>0</v>
      </c>
      <c r="P148" s="74">
        <f t="shared" si="110"/>
        <v>0.38847499913371913</v>
      </c>
      <c r="Q148" s="60">
        <f t="shared" si="110"/>
        <v>1.0824361097964978</v>
      </c>
      <c r="R148" s="62">
        <f t="shared" si="110"/>
        <v>0</v>
      </c>
      <c r="S148" s="64">
        <f t="shared" si="110"/>
        <v>1.3506113120465086</v>
      </c>
      <c r="T148" s="60">
        <f t="shared" si="110"/>
        <v>1.0509572072072073</v>
      </c>
      <c r="U148" s="62">
        <f t="shared" si="110"/>
        <v>0</v>
      </c>
      <c r="V148" s="62">
        <f t="shared" si="110"/>
        <v>0</v>
      </c>
      <c r="W148" s="62">
        <f t="shared" si="110"/>
        <v>0</v>
      </c>
      <c r="X148" s="62">
        <f t="shared" si="110"/>
        <v>0</v>
      </c>
      <c r="Y148" s="65"/>
      <c r="Z148" s="19"/>
      <c r="AA148" s="19"/>
      <c r="AB148" s="19"/>
    </row>
    <row r="149" spans="1:29" s="20" customFormat="1" ht="25.5" customHeight="1" x14ac:dyDescent="0.4">
      <c r="A149" s="173"/>
      <c r="B149" s="21" t="s">
        <v>49</v>
      </c>
      <c r="C149" s="66">
        <f>SUM(D149:X149)</f>
        <v>172778840</v>
      </c>
      <c r="D149" s="67">
        <f>D137-D135</f>
        <v>-13375000</v>
      </c>
      <c r="E149" s="66">
        <f t="shared" ref="E149:X149" si="111">E137-E135</f>
        <v>-16531000</v>
      </c>
      <c r="F149" s="66">
        <f t="shared" si="111"/>
        <v>12009000</v>
      </c>
      <c r="G149" s="71">
        <f t="shared" si="111"/>
        <v>-26219500</v>
      </c>
      <c r="H149" s="66">
        <f t="shared" si="111"/>
        <v>13150100</v>
      </c>
      <c r="I149" s="69">
        <f t="shared" si="111"/>
        <v>20581000</v>
      </c>
      <c r="J149" s="69">
        <f t="shared" si="111"/>
        <v>15474800</v>
      </c>
      <c r="K149" s="25">
        <f t="shared" si="111"/>
        <v>24715000</v>
      </c>
      <c r="L149" s="66">
        <f t="shared" si="111"/>
        <v>4858000</v>
      </c>
      <c r="M149" s="66">
        <f t="shared" si="111"/>
        <v>15370000</v>
      </c>
      <c r="N149" s="66">
        <f t="shared" si="111"/>
        <v>-2174000</v>
      </c>
      <c r="O149" s="69">
        <f t="shared" si="111"/>
        <v>-5480000</v>
      </c>
      <c r="P149" s="71">
        <f t="shared" si="111"/>
        <v>-10716000</v>
      </c>
      <c r="Q149" s="69">
        <f t="shared" si="111"/>
        <v>14638000</v>
      </c>
      <c r="R149" s="69">
        <f t="shared" si="111"/>
        <v>9428000</v>
      </c>
      <c r="S149" s="70">
        <f t="shared" si="111"/>
        <v>22684000</v>
      </c>
      <c r="T149" s="66">
        <f t="shared" si="111"/>
        <v>8761000</v>
      </c>
      <c r="U149" s="69">
        <f t="shared" si="111"/>
        <v>38674000</v>
      </c>
      <c r="V149" s="69">
        <f t="shared" si="111"/>
        <v>72000</v>
      </c>
      <c r="W149" s="69">
        <f t="shared" si="111"/>
        <v>351000</v>
      </c>
      <c r="X149" s="66">
        <f t="shared" si="111"/>
        <v>46508440</v>
      </c>
      <c r="Y149" s="27"/>
      <c r="Z149" s="19"/>
      <c r="AA149" s="19"/>
      <c r="AB149" s="19"/>
    </row>
    <row r="150" spans="1:29" s="20" customFormat="1" ht="25.5" customHeight="1" x14ac:dyDescent="0.4">
      <c r="A150" s="173"/>
      <c r="B150" s="21" t="s">
        <v>50</v>
      </c>
      <c r="C150" s="60">
        <f>IFERROR(C136/C135,0)</f>
        <v>1.3169476361501369</v>
      </c>
      <c r="D150" s="61">
        <f>IFERROR(D137/D135,0)</f>
        <v>0.76461581781704269</v>
      </c>
      <c r="E150" s="60">
        <f t="shared" ref="E150:X150" si="112">IFERROR(E137/E135,0)</f>
        <v>0.61738224742506653</v>
      </c>
      <c r="F150" s="60">
        <f t="shared" si="112"/>
        <v>0</v>
      </c>
      <c r="G150" s="73">
        <f t="shared" si="112"/>
        <v>0.8003951064655862</v>
      </c>
      <c r="H150" s="60">
        <f t="shared" si="112"/>
        <v>1.1565749053413663</v>
      </c>
      <c r="I150" s="62">
        <f t="shared" si="112"/>
        <v>0</v>
      </c>
      <c r="J150" s="62">
        <f t="shared" si="112"/>
        <v>0</v>
      </c>
      <c r="K150" s="62">
        <f t="shared" si="112"/>
        <v>0</v>
      </c>
      <c r="L150" s="60">
        <f t="shared" si="112"/>
        <v>1.2995252481657316</v>
      </c>
      <c r="M150" s="60">
        <f t="shared" si="112"/>
        <v>2.04020032485111</v>
      </c>
      <c r="N150" s="60">
        <f t="shared" si="112"/>
        <v>0.49850057670126874</v>
      </c>
      <c r="O150" s="62">
        <f t="shared" si="112"/>
        <v>8.6209771552442888E-2</v>
      </c>
      <c r="P150" s="73">
        <f t="shared" si="112"/>
        <v>0.5112874538240525</v>
      </c>
      <c r="Q150" s="62">
        <f t="shared" si="112"/>
        <v>0</v>
      </c>
      <c r="R150" s="62">
        <f t="shared" si="112"/>
        <v>0</v>
      </c>
      <c r="S150" s="64">
        <f t="shared" si="112"/>
        <v>1.5940708150010476</v>
      </c>
      <c r="T150" s="60">
        <f t="shared" si="112"/>
        <v>1.1329458717127725</v>
      </c>
      <c r="U150" s="62">
        <f t="shared" si="112"/>
        <v>0</v>
      </c>
      <c r="V150" s="62">
        <f t="shared" si="112"/>
        <v>0</v>
      </c>
      <c r="W150" s="62">
        <f t="shared" si="112"/>
        <v>0</v>
      </c>
      <c r="X150" s="60">
        <f t="shared" si="112"/>
        <v>2.1050017320431791</v>
      </c>
      <c r="Y150" s="65"/>
      <c r="Z150" s="19"/>
      <c r="AA150" s="19"/>
      <c r="AB150" s="19"/>
    </row>
    <row r="151" spans="1:29" s="20" customFormat="1" ht="25.5" customHeight="1" x14ac:dyDescent="0.4">
      <c r="A151" s="173"/>
      <c r="B151" s="21" t="s">
        <v>51</v>
      </c>
      <c r="C151" s="66">
        <f>SUM(D151:X151)</f>
        <v>6445982</v>
      </c>
      <c r="D151" s="67">
        <f>D137-D136</f>
        <v>2678000</v>
      </c>
      <c r="E151" s="66">
        <f t="shared" ref="E151:X151" si="113">E137-E136</f>
        <v>-6561000</v>
      </c>
      <c r="F151" s="66">
        <f t="shared" si="113"/>
        <v>-9422000</v>
      </c>
      <c r="G151" s="71">
        <f t="shared" si="113"/>
        <v>2730300</v>
      </c>
      <c r="H151" s="66">
        <f t="shared" si="113"/>
        <v>1712100</v>
      </c>
      <c r="I151" s="69">
        <f t="shared" si="113"/>
        <v>20581000</v>
      </c>
      <c r="J151" s="69">
        <f t="shared" si="113"/>
        <v>15474800</v>
      </c>
      <c r="K151" s="22">
        <f t="shared" si="113"/>
        <v>24715000</v>
      </c>
      <c r="L151" s="66">
        <f t="shared" si="113"/>
        <v>-3518000</v>
      </c>
      <c r="M151" s="66">
        <f t="shared" si="113"/>
        <v>16353500</v>
      </c>
      <c r="N151" s="66">
        <f t="shared" si="113"/>
        <v>-47000</v>
      </c>
      <c r="O151" s="69">
        <f t="shared" si="113"/>
        <v>79000</v>
      </c>
      <c r="P151" s="71">
        <f t="shared" si="113"/>
        <v>-3067000</v>
      </c>
      <c r="Q151" s="69">
        <f t="shared" si="113"/>
        <v>14638000</v>
      </c>
      <c r="R151" s="66">
        <f t="shared" si="113"/>
        <v>9428000</v>
      </c>
      <c r="S151" s="66">
        <f t="shared" si="113"/>
        <v>11795000</v>
      </c>
      <c r="T151" s="66">
        <f t="shared" si="113"/>
        <v>74660000</v>
      </c>
      <c r="U151" s="66">
        <f t="shared" si="113"/>
        <v>1732000</v>
      </c>
      <c r="V151" s="69">
        <f t="shared" si="113"/>
        <v>72000</v>
      </c>
      <c r="W151" s="66">
        <f t="shared" si="113"/>
        <v>351000</v>
      </c>
      <c r="X151" s="66">
        <f t="shared" si="113"/>
        <v>-167938718</v>
      </c>
      <c r="Y151" s="27"/>
      <c r="Z151" s="19"/>
      <c r="AA151" s="19"/>
      <c r="AB151" s="19"/>
    </row>
    <row r="152" spans="1:29" s="20" customFormat="1" ht="25.5" customHeight="1" x14ac:dyDescent="0.4">
      <c r="A152" s="173"/>
      <c r="B152" s="21" t="s">
        <v>52</v>
      </c>
      <c r="C152" s="60">
        <f>IFERROR(C138/C137,0)</f>
        <v>1.5281514015571032</v>
      </c>
      <c r="D152" s="61">
        <f>IFERROR(D137/D136,0)</f>
        <v>1.0656871642669676</v>
      </c>
      <c r="E152" s="60">
        <f t="shared" ref="E152:X152" si="114">IFERROR(E137/E136,0)</f>
        <v>0.80258763351888074</v>
      </c>
      <c r="F152" s="60">
        <f t="shared" si="114"/>
        <v>0.56035649293080114</v>
      </c>
      <c r="G152" s="73">
        <f t="shared" si="114"/>
        <v>1.0266612113210789</v>
      </c>
      <c r="H152" s="60">
        <f t="shared" si="114"/>
        <v>1.0179420271629778</v>
      </c>
      <c r="I152" s="62">
        <f t="shared" si="114"/>
        <v>0</v>
      </c>
      <c r="J152" s="62">
        <f t="shared" si="114"/>
        <v>0</v>
      </c>
      <c r="K152" s="60">
        <f t="shared" si="114"/>
        <v>0</v>
      </c>
      <c r="L152" s="60">
        <f t="shared" si="114"/>
        <v>0.8569627973165278</v>
      </c>
      <c r="M152" s="60">
        <f t="shared" si="114"/>
        <v>2.1856806235272792</v>
      </c>
      <c r="N152" s="60">
        <f t="shared" si="114"/>
        <v>0.97871376811594202</v>
      </c>
      <c r="O152" s="62">
        <f t="shared" si="114"/>
        <v>1.1803652968036529</v>
      </c>
      <c r="P152" s="73">
        <f t="shared" si="114"/>
        <v>0.78519400476257184</v>
      </c>
      <c r="Q152" s="62">
        <f t="shared" si="114"/>
        <v>0</v>
      </c>
      <c r="R152" s="60">
        <f t="shared" si="114"/>
        <v>0</v>
      </c>
      <c r="S152" s="60">
        <f t="shared" si="114"/>
        <v>1.2403562040225786</v>
      </c>
      <c r="T152" s="60">
        <f t="shared" si="114"/>
        <v>0</v>
      </c>
      <c r="U152" s="60">
        <f t="shared" si="114"/>
        <v>1.0468843051269558</v>
      </c>
      <c r="V152" s="62">
        <f t="shared" si="114"/>
        <v>0</v>
      </c>
      <c r="W152" s="60">
        <f t="shared" si="114"/>
        <v>0</v>
      </c>
      <c r="X152" s="60">
        <f t="shared" si="114"/>
        <v>0.34536048946671372</v>
      </c>
      <c r="Y152" s="65"/>
      <c r="Z152" s="19"/>
      <c r="AA152" s="19"/>
      <c r="AB152" s="19"/>
    </row>
    <row r="153" spans="1:29" s="82" customFormat="1" ht="25.5" customHeight="1" x14ac:dyDescent="0.4">
      <c r="A153" s="173"/>
      <c r="B153" s="75" t="s">
        <v>53</v>
      </c>
      <c r="C153" s="76">
        <f>SUM(D153:X153)</f>
        <v>-368425140</v>
      </c>
      <c r="D153" s="77">
        <f>D137-D138</f>
        <v>1847000</v>
      </c>
      <c r="E153" s="76">
        <f t="shared" ref="E153:X153" si="115">E137-E138</f>
        <v>-7226000</v>
      </c>
      <c r="F153" s="76">
        <f t="shared" si="115"/>
        <v>-9891000</v>
      </c>
      <c r="G153" s="78">
        <f t="shared" si="115"/>
        <v>-1462500</v>
      </c>
      <c r="H153" s="76">
        <f t="shared" si="115"/>
        <v>-3063900</v>
      </c>
      <c r="I153" s="76">
        <f t="shared" si="115"/>
        <v>-10819000</v>
      </c>
      <c r="J153" s="76">
        <f t="shared" si="115"/>
        <v>-6525200</v>
      </c>
      <c r="K153" s="76">
        <f t="shared" si="115"/>
        <v>-28885000</v>
      </c>
      <c r="L153" s="76">
        <f t="shared" si="115"/>
        <v>-40423000</v>
      </c>
      <c r="M153" s="76">
        <f t="shared" si="115"/>
        <v>-4354000</v>
      </c>
      <c r="N153" s="76">
        <f t="shared" si="115"/>
        <v>-139000</v>
      </c>
      <c r="O153" s="76">
        <f t="shared" si="115"/>
        <v>17000</v>
      </c>
      <c r="P153" s="78">
        <f t="shared" si="115"/>
        <v>-3389000</v>
      </c>
      <c r="Q153" s="76">
        <f t="shared" si="115"/>
        <v>-13162000</v>
      </c>
      <c r="R153" s="76">
        <f t="shared" si="115"/>
        <v>-10572000</v>
      </c>
      <c r="S153" s="76">
        <f t="shared" si="115"/>
        <v>-2932000</v>
      </c>
      <c r="T153" s="76">
        <f t="shared" si="115"/>
        <v>-24240000</v>
      </c>
      <c r="U153" s="76">
        <f t="shared" si="115"/>
        <v>-16826000</v>
      </c>
      <c r="V153" s="76">
        <f t="shared" si="115"/>
        <v>-4928000</v>
      </c>
      <c r="W153" s="76">
        <f t="shared" si="115"/>
        <v>-649000</v>
      </c>
      <c r="X153" s="76">
        <f t="shared" si="115"/>
        <v>-180802540</v>
      </c>
      <c r="Y153" s="80"/>
      <c r="Z153" s="81"/>
      <c r="AA153" s="81"/>
      <c r="AB153" s="81"/>
    </row>
    <row r="154" spans="1:29" s="44" customFormat="1" ht="25.5" customHeight="1" thickBot="1" x14ac:dyDescent="0.45">
      <c r="A154" s="174"/>
      <c r="B154" s="83" t="s">
        <v>54</v>
      </c>
      <c r="C154" s="84">
        <f>IFERROR(C136/C138,0)</f>
        <v>0.64833853470919323</v>
      </c>
      <c r="D154" s="85">
        <f>IFERROR(D137/D138,0)</f>
        <v>1.0443990384615385</v>
      </c>
      <c r="E154" s="84">
        <f t="shared" ref="E154:X154" si="116">IFERROR(E137/E138,0)</f>
        <v>0.78684365781710919</v>
      </c>
      <c r="F154" s="84">
        <f t="shared" si="116"/>
        <v>0.54835616438356161</v>
      </c>
      <c r="G154" s="86">
        <f t="shared" si="116"/>
        <v>0.98628048780487809</v>
      </c>
      <c r="H154" s="84">
        <f t="shared" si="116"/>
        <v>0.96942215568862278</v>
      </c>
      <c r="I154" s="84">
        <f t="shared" si="116"/>
        <v>0.6554458598726115</v>
      </c>
      <c r="J154" s="84">
        <f t="shared" si="116"/>
        <v>0.70340000000000003</v>
      </c>
      <c r="K154" s="84">
        <f t="shared" si="116"/>
        <v>0.46110074626865671</v>
      </c>
      <c r="L154" s="84">
        <f t="shared" si="116"/>
        <v>0.34271544715447155</v>
      </c>
      <c r="M154" s="84">
        <f t="shared" si="116"/>
        <v>0.87379710144927536</v>
      </c>
      <c r="N154" s="84">
        <f t="shared" si="116"/>
        <v>0.93956521739130439</v>
      </c>
      <c r="O154" s="84">
        <f t="shared" si="116"/>
        <v>1.034</v>
      </c>
      <c r="P154" s="86">
        <f t="shared" si="116"/>
        <v>0.76787671232876709</v>
      </c>
      <c r="Q154" s="84">
        <f t="shared" si="116"/>
        <v>0.52654676258992805</v>
      </c>
      <c r="R154" s="84">
        <f t="shared" si="116"/>
        <v>0.47139999999999999</v>
      </c>
      <c r="S154" s="84">
        <f t="shared" si="116"/>
        <v>0.95404388714733546</v>
      </c>
      <c r="T154" s="84">
        <f t="shared" si="116"/>
        <v>0.75490394337714861</v>
      </c>
      <c r="U154" s="84">
        <f t="shared" si="116"/>
        <v>0.69682882882882879</v>
      </c>
      <c r="V154" s="84">
        <f t="shared" si="116"/>
        <v>1.44E-2</v>
      </c>
      <c r="W154" s="84">
        <f t="shared" si="116"/>
        <v>0.35099999999999998</v>
      </c>
      <c r="X154" s="84">
        <f t="shared" si="116"/>
        <v>0.32886956198960654</v>
      </c>
      <c r="Y154" s="88"/>
      <c r="Z154" s="43"/>
      <c r="AA154" s="43"/>
      <c r="AB154" s="43"/>
    </row>
    <row r="155" spans="1:29" s="20" customFormat="1" ht="25.5" customHeight="1" thickTop="1" x14ac:dyDescent="0.4">
      <c r="A155" s="172" t="s">
        <v>62</v>
      </c>
      <c r="B155" s="89" t="s">
        <v>29</v>
      </c>
      <c r="C155" s="90">
        <f t="shared" ref="C155:C161" si="117">SUM(D155:X155)</f>
        <v>540046100</v>
      </c>
      <c r="D155" s="91">
        <v>44050000</v>
      </c>
      <c r="E155" s="90">
        <v>101716000</v>
      </c>
      <c r="F155" s="92">
        <v>0</v>
      </c>
      <c r="G155" s="93">
        <v>0</v>
      </c>
      <c r="H155" s="92">
        <v>0</v>
      </c>
      <c r="I155" s="90">
        <v>40304300</v>
      </c>
      <c r="J155" s="92">
        <v>0</v>
      </c>
      <c r="K155" s="94">
        <v>77121000</v>
      </c>
      <c r="L155" s="90">
        <v>23765000</v>
      </c>
      <c r="M155" s="90">
        <v>29812000</v>
      </c>
      <c r="N155" s="90">
        <v>5983000</v>
      </c>
      <c r="O155" s="92"/>
      <c r="P155" s="93">
        <v>0</v>
      </c>
      <c r="Q155" s="94">
        <v>99354000</v>
      </c>
      <c r="R155" s="92"/>
      <c r="S155" s="94">
        <v>32329000</v>
      </c>
      <c r="T155" s="94">
        <v>85611800</v>
      </c>
      <c r="U155" s="92"/>
      <c r="V155" s="92"/>
      <c r="W155" s="92"/>
      <c r="X155" s="92"/>
      <c r="Y155" s="95"/>
      <c r="Z155" s="19"/>
      <c r="AA155" s="19"/>
      <c r="AB155" s="19"/>
    </row>
    <row r="156" spans="1:29" s="20" customFormat="1" ht="25.5" customHeight="1" x14ac:dyDescent="0.4">
      <c r="A156" s="173"/>
      <c r="B156" s="21" t="s">
        <v>30</v>
      </c>
      <c r="C156" s="22">
        <f t="shared" si="117"/>
        <v>175470500</v>
      </c>
      <c r="D156" s="23">
        <v>11353000</v>
      </c>
      <c r="E156" s="22">
        <v>11901000</v>
      </c>
      <c r="F156" s="22">
        <v>21688000</v>
      </c>
      <c r="G156" s="24">
        <v>0</v>
      </c>
      <c r="H156" s="25">
        <v>0</v>
      </c>
      <c r="I156" s="22">
        <v>14869500</v>
      </c>
      <c r="J156" s="25">
        <v>0</v>
      </c>
      <c r="K156" s="25">
        <v>0</v>
      </c>
      <c r="L156" s="22">
        <v>11789000</v>
      </c>
      <c r="M156" s="22">
        <v>21587500</v>
      </c>
      <c r="N156" s="22">
        <v>1074000</v>
      </c>
      <c r="O156" s="25"/>
      <c r="P156" s="29">
        <v>18817000</v>
      </c>
      <c r="Q156" s="26">
        <v>0</v>
      </c>
      <c r="R156" s="25"/>
      <c r="S156" s="26">
        <v>29191000</v>
      </c>
      <c r="T156" s="26">
        <v>33200500</v>
      </c>
      <c r="U156" s="25"/>
      <c r="V156" s="25"/>
      <c r="W156" s="25"/>
      <c r="X156" s="25"/>
      <c r="Y156" s="27"/>
    </row>
    <row r="157" spans="1:29" s="20" customFormat="1" ht="25.5" customHeight="1" x14ac:dyDescent="0.4">
      <c r="A157" s="173"/>
      <c r="B157" s="21" t="s">
        <v>31</v>
      </c>
      <c r="C157" s="22">
        <f t="shared" si="117"/>
        <v>370945700</v>
      </c>
      <c r="D157" s="23">
        <v>16161000</v>
      </c>
      <c r="E157" s="22">
        <v>22175000</v>
      </c>
      <c r="F157" s="22">
        <v>30530000</v>
      </c>
      <c r="G157" s="28">
        <v>73956900</v>
      </c>
      <c r="H157" s="25">
        <v>0</v>
      </c>
      <c r="I157" s="22">
        <v>23741800</v>
      </c>
      <c r="J157" s="25">
        <v>0</v>
      </c>
      <c r="K157" s="25">
        <v>0</v>
      </c>
      <c r="L157" s="22">
        <v>22696000</v>
      </c>
      <c r="M157" s="22">
        <v>24335000</v>
      </c>
      <c r="N157" s="22">
        <v>5628000</v>
      </c>
      <c r="O157" s="25"/>
      <c r="P157" s="29">
        <v>26340000</v>
      </c>
      <c r="Q157" s="26">
        <v>48357000</v>
      </c>
      <c r="R157" s="25"/>
      <c r="S157" s="26">
        <v>32738000</v>
      </c>
      <c r="T157" s="26">
        <v>44287000</v>
      </c>
      <c r="U157" s="25"/>
      <c r="V157" s="25"/>
      <c r="W157" s="25"/>
      <c r="X157" s="25"/>
      <c r="Y157" s="27"/>
      <c r="Z157" s="19">
        <f>IFERROR(#REF!/#REF!-1,0)</f>
        <v>0</v>
      </c>
      <c r="AA157" s="19">
        <f>IFERROR(C157/C156-1,0)</f>
        <v>1.1140060579983531</v>
      </c>
      <c r="AB157" s="19">
        <f>IFERROR(#REF!/#REF!-1,0)</f>
        <v>0</v>
      </c>
    </row>
    <row r="158" spans="1:29" s="20" customFormat="1" ht="25.5" customHeight="1" x14ac:dyDescent="0.4">
      <c r="A158" s="173"/>
      <c r="B158" s="96" t="s">
        <v>56</v>
      </c>
      <c r="C158" s="22">
        <f t="shared" si="117"/>
        <v>1275625960</v>
      </c>
      <c r="D158" s="97">
        <v>92911000</v>
      </c>
      <c r="E158" s="98">
        <v>116931000</v>
      </c>
      <c r="F158" s="98">
        <v>185685700</v>
      </c>
      <c r="G158" s="99">
        <v>472364500</v>
      </c>
      <c r="H158" s="100">
        <v>0</v>
      </c>
      <c r="I158" s="100">
        <v>0</v>
      </c>
      <c r="J158" s="100">
        <v>0</v>
      </c>
      <c r="K158" s="100">
        <v>0</v>
      </c>
      <c r="L158" s="98">
        <v>45402000</v>
      </c>
      <c r="M158" s="98">
        <v>31858500</v>
      </c>
      <c r="N158" s="98">
        <v>8921000</v>
      </c>
      <c r="O158" s="100"/>
      <c r="P158" s="101">
        <v>46580000</v>
      </c>
      <c r="Q158" s="102">
        <v>109115000</v>
      </c>
      <c r="R158" s="100"/>
      <c r="S158" s="102">
        <v>55521000</v>
      </c>
      <c r="T158" s="102">
        <v>110336260</v>
      </c>
      <c r="U158" s="100"/>
      <c r="V158" s="100"/>
      <c r="W158" s="100"/>
      <c r="X158" s="100"/>
      <c r="Y158" s="103"/>
      <c r="Z158" s="19"/>
      <c r="AA158" s="19"/>
      <c r="AB158" s="19"/>
    </row>
    <row r="159" spans="1:29" s="44" customFormat="1" ht="25.5" customHeight="1" x14ac:dyDescent="0.4">
      <c r="A159" s="173"/>
      <c r="B159" s="21" t="s">
        <v>33</v>
      </c>
      <c r="C159" s="22">
        <f t="shared" si="117"/>
        <v>1182639859</v>
      </c>
      <c r="D159" s="23">
        <v>79618000</v>
      </c>
      <c r="E159" s="22">
        <v>101948309</v>
      </c>
      <c r="F159" s="22">
        <v>159293150</v>
      </c>
      <c r="G159" s="28">
        <v>315391900</v>
      </c>
      <c r="H159" s="22">
        <v>225091900</v>
      </c>
      <c r="I159" s="25">
        <v>0</v>
      </c>
      <c r="J159" s="25">
        <v>0</v>
      </c>
      <c r="K159" s="25">
        <v>0</v>
      </c>
      <c r="L159" s="22">
        <v>34845000</v>
      </c>
      <c r="M159" s="22">
        <v>21212500</v>
      </c>
      <c r="N159" s="22">
        <v>7651000</v>
      </c>
      <c r="O159" s="25"/>
      <c r="P159" s="28">
        <v>61760000</v>
      </c>
      <c r="Q159" s="22">
        <v>15107100</v>
      </c>
      <c r="R159" s="25"/>
      <c r="S159" s="26">
        <v>54693000</v>
      </c>
      <c r="T159" s="22">
        <v>106028000</v>
      </c>
      <c r="U159" s="25"/>
      <c r="V159" s="25"/>
      <c r="W159" s="25"/>
      <c r="X159" s="22"/>
      <c r="Y159" s="27"/>
      <c r="Z159" s="43"/>
      <c r="AA159" s="43"/>
      <c r="AB159" s="43"/>
      <c r="AC159" s="20"/>
    </row>
    <row r="160" spans="1:29" s="20" customFormat="1" ht="25.5" customHeight="1" x14ac:dyDescent="0.4">
      <c r="A160" s="173"/>
      <c r="B160" s="30" t="s">
        <v>34</v>
      </c>
      <c r="C160" s="31">
        <f t="shared" si="117"/>
        <v>957684820</v>
      </c>
      <c r="D160" s="32">
        <v>59102000</v>
      </c>
      <c r="E160" s="31">
        <v>77843000</v>
      </c>
      <c r="F160" s="31">
        <v>102597800</v>
      </c>
      <c r="G160" s="33">
        <v>279866000</v>
      </c>
      <c r="H160" s="31">
        <v>134553000</v>
      </c>
      <c r="I160" s="34">
        <v>0</v>
      </c>
      <c r="J160" s="34">
        <v>0</v>
      </c>
      <c r="K160" s="34"/>
      <c r="L160" s="31">
        <v>21076000</v>
      </c>
      <c r="M160" s="31">
        <v>20363000</v>
      </c>
      <c r="N160" s="31">
        <v>5243000</v>
      </c>
      <c r="O160" s="31">
        <v>6297000</v>
      </c>
      <c r="P160" s="33">
        <v>37920000</v>
      </c>
      <c r="Q160" s="34">
        <v>0</v>
      </c>
      <c r="R160" s="34"/>
      <c r="S160" s="35">
        <v>52186000</v>
      </c>
      <c r="T160" s="31">
        <v>83460000</v>
      </c>
      <c r="U160" s="34"/>
      <c r="V160" s="34"/>
      <c r="W160" s="34"/>
      <c r="X160" s="31">
        <v>77178020</v>
      </c>
      <c r="Y160" s="36"/>
      <c r="Z160" s="19"/>
      <c r="AA160" s="19"/>
      <c r="AB160" s="19"/>
    </row>
    <row r="161" spans="1:28" s="20" customFormat="1" ht="25.5" customHeight="1" x14ac:dyDescent="0.4">
      <c r="A161" s="173"/>
      <c r="B161" s="30" t="s">
        <v>57</v>
      </c>
      <c r="C161" s="31">
        <f t="shared" si="117"/>
        <v>1283005758</v>
      </c>
      <c r="D161" s="32">
        <v>67894000</v>
      </c>
      <c r="E161" s="31">
        <v>75599500</v>
      </c>
      <c r="F161" s="31">
        <v>100648000</v>
      </c>
      <c r="G161" s="33">
        <v>311018700</v>
      </c>
      <c r="H161" s="31">
        <v>200649750</v>
      </c>
      <c r="I161" s="34">
        <v>0</v>
      </c>
      <c r="J161" s="34">
        <v>0</v>
      </c>
      <c r="K161" s="31">
        <v>83819500</v>
      </c>
      <c r="L161" s="31">
        <v>90922000</v>
      </c>
      <c r="M161" s="31">
        <v>18848000</v>
      </c>
      <c r="N161" s="31">
        <v>5209000</v>
      </c>
      <c r="O161" s="31">
        <v>754000</v>
      </c>
      <c r="P161" s="33">
        <v>41658000</v>
      </c>
      <c r="Q161" s="34">
        <v>0</v>
      </c>
      <c r="R161" s="34"/>
      <c r="S161" s="31">
        <v>51188000</v>
      </c>
      <c r="T161" s="31">
        <v>134957000</v>
      </c>
      <c r="U161" s="31">
        <v>52842000</v>
      </c>
      <c r="V161" s="31">
        <v>0</v>
      </c>
      <c r="W161" s="31">
        <v>588000</v>
      </c>
      <c r="X161" s="31">
        <v>46410308</v>
      </c>
      <c r="Y161" s="36"/>
      <c r="Z161" s="19"/>
      <c r="AA161" s="19"/>
      <c r="AB161" s="19"/>
    </row>
    <row r="162" spans="1:28" s="44" customFormat="1" ht="25.5" customHeight="1" x14ac:dyDescent="0.4">
      <c r="A162" s="173"/>
      <c r="B162" s="37" t="s">
        <v>36</v>
      </c>
      <c r="C162" s="38">
        <f t="shared" ref="C162:C163" si="118">SUM(D162:X162)</f>
        <v>1275024043.483871</v>
      </c>
      <c r="D162" s="39">
        <v>77439000</v>
      </c>
      <c r="E162" s="38">
        <v>65273000</v>
      </c>
      <c r="F162" s="38">
        <v>78764000</v>
      </c>
      <c r="G162" s="40">
        <v>259689000</v>
      </c>
      <c r="H162" s="38">
        <v>192116193</v>
      </c>
      <c r="I162" s="38">
        <v>32145800</v>
      </c>
      <c r="J162" s="38">
        <v>24327100</v>
      </c>
      <c r="K162" s="38">
        <v>56769900</v>
      </c>
      <c r="L162" s="38">
        <v>41097000</v>
      </c>
      <c r="M162" s="38">
        <v>39959500</v>
      </c>
      <c r="N162" s="38">
        <v>3230000</v>
      </c>
      <c r="O162" s="38">
        <v>596000</v>
      </c>
      <c r="P162" s="40">
        <v>29894000</v>
      </c>
      <c r="Q162" s="38">
        <v>23040000</v>
      </c>
      <c r="R162" s="38">
        <v>15247935.483870968</v>
      </c>
      <c r="S162" s="38">
        <v>68205000</v>
      </c>
      <c r="T162" s="38">
        <v>124608000</v>
      </c>
      <c r="U162" s="38">
        <v>60961900</v>
      </c>
      <c r="V162" s="38">
        <v>378000</v>
      </c>
      <c r="W162" s="38">
        <v>789000</v>
      </c>
      <c r="X162" s="38">
        <v>80493715</v>
      </c>
      <c r="Y162" s="42"/>
      <c r="Z162" s="43"/>
      <c r="AA162" s="43"/>
      <c r="AB162" s="43"/>
    </row>
    <row r="163" spans="1:28" s="44" customFormat="1" ht="25.5" customHeight="1" x14ac:dyDescent="0.4">
      <c r="A163" s="173"/>
      <c r="B163" s="45" t="s">
        <v>37</v>
      </c>
      <c r="C163" s="46">
        <f t="shared" si="118"/>
        <v>1528100000</v>
      </c>
      <c r="D163" s="47">
        <f>ROUNDUP(D161*102%,-5)</f>
        <v>69300000</v>
      </c>
      <c r="E163" s="46">
        <f t="shared" ref="E163" si="119">ROUNDUP(E161*102%,-5)</f>
        <v>77200000</v>
      </c>
      <c r="F163" s="46">
        <f>ROUNDUP(F161*102%,-5)</f>
        <v>102700000</v>
      </c>
      <c r="G163" s="48">
        <f>ROUNDUP(G161*104%,-5)</f>
        <v>323500000</v>
      </c>
      <c r="H163" s="46">
        <f>ROUNDUP(H161*105%,-5)</f>
        <v>210700000</v>
      </c>
      <c r="I163" s="50">
        <f>ROUNDUP(I155*102%,-5)</f>
        <v>41200000</v>
      </c>
      <c r="J163" s="50">
        <f>ROUNDUP(I163*70%,-5)</f>
        <v>28900000</v>
      </c>
      <c r="K163" s="46">
        <f>ROUNDUP(K161*102%,-5)</f>
        <v>85500000</v>
      </c>
      <c r="L163" s="46">
        <f>ROUNDUP(L161*102%,-5)</f>
        <v>92800000</v>
      </c>
      <c r="M163" s="50">
        <f>ROUNDUP(M161*250%,-5)</f>
        <v>47200000</v>
      </c>
      <c r="N163" s="46">
        <f t="shared" ref="N163:P163" si="120">ROUNDUP(N161*102%,-5)</f>
        <v>5400000</v>
      </c>
      <c r="O163" s="46">
        <f t="shared" si="120"/>
        <v>800000</v>
      </c>
      <c r="P163" s="48">
        <f t="shared" si="120"/>
        <v>42500000</v>
      </c>
      <c r="Q163" s="50">
        <f>ROUNDUP(U163*50%,-5)</f>
        <v>39700000</v>
      </c>
      <c r="R163" s="50">
        <v>30000000</v>
      </c>
      <c r="S163" s="50">
        <f>ROUNDUP(S161*130%,-5)</f>
        <v>66600000</v>
      </c>
      <c r="T163" s="50">
        <f>ROUNDUP(T160*150%,-5)</f>
        <v>125200000</v>
      </c>
      <c r="U163" s="50">
        <f>ROUNDUP(U161*150%,-5)</f>
        <v>79300000</v>
      </c>
      <c r="V163" s="50">
        <v>10000000</v>
      </c>
      <c r="W163" s="50">
        <f>ROUNDUP(W161*120%,-5)</f>
        <v>800000</v>
      </c>
      <c r="X163" s="46">
        <f>ROUNDUP(X161*105%,-5)</f>
        <v>48800000</v>
      </c>
      <c r="Y163" s="51" t="s">
        <v>38</v>
      </c>
      <c r="Z163" s="43"/>
      <c r="AA163" s="43">
        <f>D163/D155</f>
        <v>1.5732122587968218</v>
      </c>
      <c r="AB163" s="43"/>
    </row>
    <row r="164" spans="1:28" s="59" customFormat="1" ht="25.5" customHeight="1" x14ac:dyDescent="0.4">
      <c r="A164" s="173"/>
      <c r="B164" s="12" t="s">
        <v>39</v>
      </c>
      <c r="C164" s="52">
        <f>SUM(D164:X164)</f>
        <v>734977943.48387098</v>
      </c>
      <c r="D164" s="53">
        <f>D162-D155</f>
        <v>33389000</v>
      </c>
      <c r="E164" s="52">
        <f t="shared" ref="E164:X164" si="121">E162-E155</f>
        <v>-36443000</v>
      </c>
      <c r="F164" s="54">
        <f t="shared" si="121"/>
        <v>78764000</v>
      </c>
      <c r="G164" s="55">
        <f t="shared" si="121"/>
        <v>259689000</v>
      </c>
      <c r="H164" s="54">
        <f t="shared" si="121"/>
        <v>192116193</v>
      </c>
      <c r="I164" s="52">
        <f t="shared" si="121"/>
        <v>-8158500</v>
      </c>
      <c r="J164" s="52">
        <f t="shared" si="121"/>
        <v>24327100</v>
      </c>
      <c r="K164" s="56">
        <f t="shared" si="121"/>
        <v>-20351100</v>
      </c>
      <c r="L164" s="52">
        <f t="shared" si="121"/>
        <v>17332000</v>
      </c>
      <c r="M164" s="52">
        <f t="shared" si="121"/>
        <v>10147500</v>
      </c>
      <c r="N164" s="52">
        <f t="shared" si="121"/>
        <v>-2753000</v>
      </c>
      <c r="O164" s="54">
        <f t="shared" si="121"/>
        <v>596000</v>
      </c>
      <c r="P164" s="55">
        <f t="shared" si="121"/>
        <v>29894000</v>
      </c>
      <c r="Q164" s="56">
        <f t="shared" si="121"/>
        <v>-76314000</v>
      </c>
      <c r="R164" s="54">
        <f t="shared" si="121"/>
        <v>15247935.483870968</v>
      </c>
      <c r="S164" s="56">
        <f t="shared" si="121"/>
        <v>35876000</v>
      </c>
      <c r="T164" s="56">
        <f t="shared" si="121"/>
        <v>38996200</v>
      </c>
      <c r="U164" s="54">
        <f t="shared" si="121"/>
        <v>60961900</v>
      </c>
      <c r="V164" s="54">
        <f t="shared" si="121"/>
        <v>378000</v>
      </c>
      <c r="W164" s="54">
        <f t="shared" si="121"/>
        <v>789000</v>
      </c>
      <c r="X164" s="54">
        <f t="shared" si="121"/>
        <v>80493715</v>
      </c>
      <c r="Y164" s="57"/>
      <c r="Z164" s="58"/>
      <c r="AA164" s="58"/>
      <c r="AB164" s="58"/>
    </row>
    <row r="165" spans="1:28" s="20" customFormat="1" ht="25.5" customHeight="1" x14ac:dyDescent="0.4">
      <c r="A165" s="173"/>
      <c r="B165" s="21" t="s">
        <v>40</v>
      </c>
      <c r="C165" s="60">
        <f>IFERROR(C161/C155,0)</f>
        <v>2.3757337716169045</v>
      </c>
      <c r="D165" s="61">
        <f>IFERROR(D162/D155,0)</f>
        <v>1.7579795686719637</v>
      </c>
      <c r="E165" s="60">
        <f t="shared" ref="E165:X165" si="122">IFERROR(E162/E155,0)</f>
        <v>0.64171811711038573</v>
      </c>
      <c r="F165" s="62">
        <f t="shared" si="122"/>
        <v>0</v>
      </c>
      <c r="G165" s="63">
        <f t="shared" si="122"/>
        <v>0</v>
      </c>
      <c r="H165" s="62">
        <f t="shared" si="122"/>
        <v>0</v>
      </c>
      <c r="I165" s="60">
        <f t="shared" si="122"/>
        <v>0.79757742970353041</v>
      </c>
      <c r="J165" s="60">
        <f t="shared" si="122"/>
        <v>0</v>
      </c>
      <c r="K165" s="64">
        <f t="shared" si="122"/>
        <v>0.736114676936243</v>
      </c>
      <c r="L165" s="60">
        <f t="shared" si="122"/>
        <v>1.7293078055964655</v>
      </c>
      <c r="M165" s="60">
        <f t="shared" si="122"/>
        <v>1.3403830672212531</v>
      </c>
      <c r="N165" s="60">
        <f t="shared" si="122"/>
        <v>0.53986294501086407</v>
      </c>
      <c r="O165" s="62">
        <f t="shared" si="122"/>
        <v>0</v>
      </c>
      <c r="P165" s="63">
        <f t="shared" si="122"/>
        <v>0</v>
      </c>
      <c r="Q165" s="64">
        <f t="shared" si="122"/>
        <v>0.23189806147714234</v>
      </c>
      <c r="R165" s="62">
        <f t="shared" si="122"/>
        <v>0</v>
      </c>
      <c r="S165" s="64">
        <f t="shared" si="122"/>
        <v>2.1097157350985185</v>
      </c>
      <c r="T165" s="64">
        <f t="shared" si="122"/>
        <v>1.4555002931838836</v>
      </c>
      <c r="U165" s="62">
        <f t="shared" si="122"/>
        <v>0</v>
      </c>
      <c r="V165" s="62">
        <f t="shared" si="122"/>
        <v>0</v>
      </c>
      <c r="W165" s="62">
        <f t="shared" si="122"/>
        <v>0</v>
      </c>
      <c r="X165" s="62">
        <f t="shared" si="122"/>
        <v>0</v>
      </c>
      <c r="Y165" s="65"/>
      <c r="Z165" s="19"/>
      <c r="AA165" s="19"/>
      <c r="AB165" s="19"/>
    </row>
    <row r="166" spans="1:28" s="59" customFormat="1" ht="25.5" customHeight="1" x14ac:dyDescent="0.4">
      <c r="A166" s="173"/>
      <c r="B166" s="21" t="s">
        <v>41</v>
      </c>
      <c r="C166" s="66">
        <f>SUM(D166:X166)</f>
        <v>1099553543.483871</v>
      </c>
      <c r="D166" s="67">
        <f>D162-D156</f>
        <v>66086000</v>
      </c>
      <c r="E166" s="66">
        <f t="shared" ref="E166:X166" si="123">E162-E156</f>
        <v>53372000</v>
      </c>
      <c r="F166" s="66">
        <f t="shared" si="123"/>
        <v>57076000</v>
      </c>
      <c r="G166" s="68">
        <f t="shared" si="123"/>
        <v>259689000</v>
      </c>
      <c r="H166" s="69">
        <f t="shared" si="123"/>
        <v>192116193</v>
      </c>
      <c r="I166" s="66">
        <f t="shared" si="123"/>
        <v>17276300</v>
      </c>
      <c r="J166" s="69">
        <f t="shared" si="123"/>
        <v>24327100</v>
      </c>
      <c r="K166" s="70">
        <f t="shared" si="123"/>
        <v>56769900</v>
      </c>
      <c r="L166" s="66">
        <f t="shared" si="123"/>
        <v>29308000</v>
      </c>
      <c r="M166" s="66">
        <f t="shared" si="123"/>
        <v>18372000</v>
      </c>
      <c r="N166" s="66">
        <f t="shared" si="123"/>
        <v>2156000</v>
      </c>
      <c r="O166" s="69">
        <f t="shared" si="123"/>
        <v>596000</v>
      </c>
      <c r="P166" s="68">
        <f t="shared" si="123"/>
        <v>11077000</v>
      </c>
      <c r="Q166" s="70">
        <f t="shared" si="123"/>
        <v>23040000</v>
      </c>
      <c r="R166" s="69">
        <f t="shared" si="123"/>
        <v>15247935.483870968</v>
      </c>
      <c r="S166" s="70">
        <f t="shared" si="123"/>
        <v>39014000</v>
      </c>
      <c r="T166" s="70">
        <f t="shared" si="123"/>
        <v>91407500</v>
      </c>
      <c r="U166" s="69">
        <f t="shared" si="123"/>
        <v>60961900</v>
      </c>
      <c r="V166" s="69">
        <f t="shared" si="123"/>
        <v>378000</v>
      </c>
      <c r="W166" s="69">
        <f t="shared" si="123"/>
        <v>789000</v>
      </c>
      <c r="X166" s="69">
        <f t="shared" si="123"/>
        <v>80493715</v>
      </c>
      <c r="Y166" s="27"/>
      <c r="Z166" s="58"/>
      <c r="AA166" s="58"/>
      <c r="AB166" s="58"/>
    </row>
    <row r="167" spans="1:28" s="20" customFormat="1" ht="25.5" customHeight="1" x14ac:dyDescent="0.4">
      <c r="A167" s="173"/>
      <c r="B167" s="21" t="s">
        <v>42</v>
      </c>
      <c r="C167" s="60">
        <f>IFERROR(C161/C156,0)</f>
        <v>7.3118031691936825</v>
      </c>
      <c r="D167" s="61">
        <f>IFERROR(D162/D156,0)</f>
        <v>6.8210164714172468</v>
      </c>
      <c r="E167" s="60">
        <f t="shared" ref="E167:X167" si="124">IFERROR(E162/E156,0)</f>
        <v>5.4846651541887237</v>
      </c>
      <c r="F167" s="60">
        <f t="shared" si="124"/>
        <v>3.6316857248247878</v>
      </c>
      <c r="G167" s="63">
        <f t="shared" si="124"/>
        <v>0</v>
      </c>
      <c r="H167" s="62">
        <f t="shared" si="124"/>
        <v>0</v>
      </c>
      <c r="I167" s="60">
        <f t="shared" si="124"/>
        <v>2.1618615286324356</v>
      </c>
      <c r="J167" s="62">
        <f t="shared" si="124"/>
        <v>0</v>
      </c>
      <c r="K167" s="64">
        <f t="shared" si="124"/>
        <v>0</v>
      </c>
      <c r="L167" s="60">
        <f t="shared" si="124"/>
        <v>3.4860463143608449</v>
      </c>
      <c r="M167" s="60">
        <f t="shared" si="124"/>
        <v>1.8510480602200348</v>
      </c>
      <c r="N167" s="60">
        <f t="shared" si="124"/>
        <v>3.0074487895716948</v>
      </c>
      <c r="O167" s="62">
        <f t="shared" si="124"/>
        <v>0</v>
      </c>
      <c r="P167" s="63">
        <f t="shared" si="124"/>
        <v>1.5886698198437583</v>
      </c>
      <c r="Q167" s="64">
        <f t="shared" si="124"/>
        <v>0</v>
      </c>
      <c r="R167" s="62">
        <f t="shared" si="124"/>
        <v>0</v>
      </c>
      <c r="S167" s="64">
        <f t="shared" si="124"/>
        <v>2.3365078277551299</v>
      </c>
      <c r="T167" s="64">
        <f t="shared" si="124"/>
        <v>3.7531964880046988</v>
      </c>
      <c r="U167" s="62">
        <f t="shared" si="124"/>
        <v>0</v>
      </c>
      <c r="V167" s="62">
        <f t="shared" si="124"/>
        <v>0</v>
      </c>
      <c r="W167" s="62">
        <f t="shared" si="124"/>
        <v>0</v>
      </c>
      <c r="X167" s="62">
        <f t="shared" si="124"/>
        <v>0</v>
      </c>
      <c r="Y167" s="65"/>
      <c r="Z167" s="19"/>
      <c r="AA167" s="19"/>
      <c r="AB167" s="19"/>
    </row>
    <row r="168" spans="1:28" s="59" customFormat="1" ht="25.5" customHeight="1" x14ac:dyDescent="0.4">
      <c r="A168" s="173"/>
      <c r="B168" s="21" t="s">
        <v>43</v>
      </c>
      <c r="C168" s="66">
        <f>SUM(D168:X168)</f>
        <v>904078343.48387098</v>
      </c>
      <c r="D168" s="67">
        <f>D162-D157</f>
        <v>61278000</v>
      </c>
      <c r="E168" s="66">
        <f t="shared" ref="E168:X168" si="125">E162-E157</f>
        <v>43098000</v>
      </c>
      <c r="F168" s="66">
        <f t="shared" si="125"/>
        <v>48234000</v>
      </c>
      <c r="G168" s="71">
        <f t="shared" si="125"/>
        <v>185732100</v>
      </c>
      <c r="H168" s="69">
        <f t="shared" si="125"/>
        <v>192116193</v>
      </c>
      <c r="I168" s="66">
        <f t="shared" si="125"/>
        <v>8404000</v>
      </c>
      <c r="J168" s="69">
        <f t="shared" si="125"/>
        <v>24327100</v>
      </c>
      <c r="K168" s="25">
        <f t="shared" si="125"/>
        <v>56769900</v>
      </c>
      <c r="L168" s="66">
        <f t="shared" si="125"/>
        <v>18401000</v>
      </c>
      <c r="M168" s="66">
        <f t="shared" si="125"/>
        <v>15624500</v>
      </c>
      <c r="N168" s="66">
        <f t="shared" si="125"/>
        <v>-2398000</v>
      </c>
      <c r="O168" s="69">
        <f t="shared" si="125"/>
        <v>596000</v>
      </c>
      <c r="P168" s="72">
        <f t="shared" si="125"/>
        <v>3554000</v>
      </c>
      <c r="Q168" s="70">
        <f t="shared" si="125"/>
        <v>-25317000</v>
      </c>
      <c r="R168" s="69">
        <f t="shared" si="125"/>
        <v>15247935.483870968</v>
      </c>
      <c r="S168" s="70">
        <f t="shared" si="125"/>
        <v>35467000</v>
      </c>
      <c r="T168" s="70">
        <f t="shared" si="125"/>
        <v>80321000</v>
      </c>
      <c r="U168" s="69">
        <f t="shared" si="125"/>
        <v>60961900</v>
      </c>
      <c r="V168" s="69">
        <f t="shared" si="125"/>
        <v>378000</v>
      </c>
      <c r="W168" s="69">
        <f t="shared" si="125"/>
        <v>789000</v>
      </c>
      <c r="X168" s="69">
        <f t="shared" si="125"/>
        <v>80493715</v>
      </c>
      <c r="Y168" s="27"/>
      <c r="Z168" s="58"/>
      <c r="AA168" s="58"/>
      <c r="AB168" s="58"/>
    </row>
    <row r="169" spans="1:28" s="20" customFormat="1" ht="25.5" customHeight="1" x14ac:dyDescent="0.4">
      <c r="A169" s="173"/>
      <c r="B169" s="21" t="s">
        <v>44</v>
      </c>
      <c r="C169" s="60">
        <f>IFERROR(C161/C157,0)</f>
        <v>3.4587427701682483</v>
      </c>
      <c r="D169" s="61">
        <f>IFERROR(D162/D157,0)</f>
        <v>4.7917208093558568</v>
      </c>
      <c r="E169" s="60">
        <f t="shared" ref="E169:X169" si="126">IFERROR(E162/E157,0)</f>
        <v>2.9435400225479142</v>
      </c>
      <c r="F169" s="60">
        <f t="shared" si="126"/>
        <v>2.5798886341303637</v>
      </c>
      <c r="G169" s="73">
        <f t="shared" si="126"/>
        <v>3.5113559383911439</v>
      </c>
      <c r="H169" s="62">
        <f t="shared" si="126"/>
        <v>0</v>
      </c>
      <c r="I169" s="60">
        <f t="shared" si="126"/>
        <v>1.3539748460521106</v>
      </c>
      <c r="J169" s="62">
        <f t="shared" si="126"/>
        <v>0</v>
      </c>
      <c r="K169" s="62">
        <f t="shared" si="126"/>
        <v>0</v>
      </c>
      <c r="L169" s="60">
        <f t="shared" si="126"/>
        <v>1.8107596052167783</v>
      </c>
      <c r="M169" s="60">
        <f t="shared" si="126"/>
        <v>1.6420587630984178</v>
      </c>
      <c r="N169" s="60">
        <f t="shared" si="126"/>
        <v>0.57391613361762617</v>
      </c>
      <c r="O169" s="62">
        <f t="shared" si="126"/>
        <v>0</v>
      </c>
      <c r="P169" s="74">
        <f t="shared" si="126"/>
        <v>1.1349278663629461</v>
      </c>
      <c r="Q169" s="64">
        <f t="shared" si="126"/>
        <v>0.47645635585334078</v>
      </c>
      <c r="R169" s="62">
        <f t="shared" si="126"/>
        <v>0</v>
      </c>
      <c r="S169" s="64">
        <f t="shared" si="126"/>
        <v>2.0833587879528377</v>
      </c>
      <c r="T169" s="64">
        <f t="shared" si="126"/>
        <v>2.8136473457222211</v>
      </c>
      <c r="U169" s="62">
        <f t="shared" si="126"/>
        <v>0</v>
      </c>
      <c r="V169" s="62">
        <f t="shared" si="126"/>
        <v>0</v>
      </c>
      <c r="W169" s="62">
        <f t="shared" si="126"/>
        <v>0</v>
      </c>
      <c r="X169" s="62">
        <f t="shared" si="126"/>
        <v>0</v>
      </c>
      <c r="Y169" s="65"/>
      <c r="Z169" s="19"/>
      <c r="AA169" s="19"/>
      <c r="AB169" s="19"/>
    </row>
    <row r="170" spans="1:28" s="59" customFormat="1" ht="25.5" customHeight="1" x14ac:dyDescent="0.4">
      <c r="A170" s="173"/>
      <c r="B170" s="21" t="s">
        <v>45</v>
      </c>
      <c r="C170" s="66">
        <f>SUM(D170:X170)</f>
        <v>-601916.51612901688</v>
      </c>
      <c r="D170" s="67">
        <f>D162-D158</f>
        <v>-15472000</v>
      </c>
      <c r="E170" s="66">
        <f t="shared" ref="E170:X170" si="127">E162-E158</f>
        <v>-51658000</v>
      </c>
      <c r="F170" s="66">
        <f t="shared" si="127"/>
        <v>-106921700</v>
      </c>
      <c r="G170" s="71">
        <f t="shared" si="127"/>
        <v>-212675500</v>
      </c>
      <c r="H170" s="69">
        <f t="shared" si="127"/>
        <v>192116193</v>
      </c>
      <c r="I170" s="66">
        <f t="shared" si="127"/>
        <v>32145800</v>
      </c>
      <c r="J170" s="69">
        <f t="shared" si="127"/>
        <v>24327100</v>
      </c>
      <c r="K170" s="25">
        <f t="shared" si="127"/>
        <v>56769900</v>
      </c>
      <c r="L170" s="66">
        <f t="shared" si="127"/>
        <v>-4305000</v>
      </c>
      <c r="M170" s="66">
        <f t="shared" si="127"/>
        <v>8101000</v>
      </c>
      <c r="N170" s="66">
        <f t="shared" si="127"/>
        <v>-5691000</v>
      </c>
      <c r="O170" s="69">
        <f t="shared" si="127"/>
        <v>596000</v>
      </c>
      <c r="P170" s="72">
        <f t="shared" si="127"/>
        <v>-16686000</v>
      </c>
      <c r="Q170" s="70">
        <f t="shared" si="127"/>
        <v>-86075000</v>
      </c>
      <c r="R170" s="69">
        <f t="shared" si="127"/>
        <v>15247935.483870968</v>
      </c>
      <c r="S170" s="70">
        <f t="shared" si="127"/>
        <v>12684000</v>
      </c>
      <c r="T170" s="70">
        <f t="shared" si="127"/>
        <v>14271740</v>
      </c>
      <c r="U170" s="69">
        <f t="shared" si="127"/>
        <v>60961900</v>
      </c>
      <c r="V170" s="69">
        <f t="shared" si="127"/>
        <v>378000</v>
      </c>
      <c r="W170" s="69">
        <f t="shared" si="127"/>
        <v>789000</v>
      </c>
      <c r="X170" s="69">
        <f t="shared" si="127"/>
        <v>80493715</v>
      </c>
      <c r="Y170" s="27"/>
      <c r="Z170" s="58"/>
      <c r="AA170" s="58"/>
      <c r="AB170" s="58"/>
    </row>
    <row r="171" spans="1:28" s="20" customFormat="1" ht="25.5" customHeight="1" x14ac:dyDescent="0.4">
      <c r="A171" s="173"/>
      <c r="B171" s="21" t="s">
        <v>46</v>
      </c>
      <c r="C171" s="60">
        <f>IFERROR(C161/C158,0)</f>
        <v>1.005785236606505</v>
      </c>
      <c r="D171" s="61">
        <f>IFERROR(D162/D158,0)</f>
        <v>0.83347504601177469</v>
      </c>
      <c r="E171" s="60">
        <f t="shared" ref="E171:X171" si="128">IFERROR(E162/E158,0)</f>
        <v>0.55821809443175885</v>
      </c>
      <c r="F171" s="60">
        <f t="shared" si="128"/>
        <v>0.424179137111797</v>
      </c>
      <c r="G171" s="73">
        <f t="shared" si="128"/>
        <v>0.54976400639760181</v>
      </c>
      <c r="H171" s="62">
        <f t="shared" si="128"/>
        <v>0</v>
      </c>
      <c r="I171" s="60">
        <f t="shared" si="128"/>
        <v>0</v>
      </c>
      <c r="J171" s="62">
        <f t="shared" si="128"/>
        <v>0</v>
      </c>
      <c r="K171" s="62">
        <f t="shared" si="128"/>
        <v>0</v>
      </c>
      <c r="L171" s="60">
        <f t="shared" si="128"/>
        <v>0.90518038852913973</v>
      </c>
      <c r="M171" s="60">
        <f t="shared" si="128"/>
        <v>1.2542806472370012</v>
      </c>
      <c r="N171" s="60">
        <f t="shared" si="128"/>
        <v>0.36206703284385161</v>
      </c>
      <c r="O171" s="62">
        <f t="shared" si="128"/>
        <v>0</v>
      </c>
      <c r="P171" s="74">
        <f t="shared" si="128"/>
        <v>0.64177758694718767</v>
      </c>
      <c r="Q171" s="64">
        <f t="shared" si="128"/>
        <v>0.21115337029739267</v>
      </c>
      <c r="R171" s="62">
        <f t="shared" si="128"/>
        <v>0</v>
      </c>
      <c r="S171" s="64">
        <f t="shared" si="128"/>
        <v>1.2284540984492354</v>
      </c>
      <c r="T171" s="64">
        <f t="shared" si="128"/>
        <v>1.1293476867894561</v>
      </c>
      <c r="U171" s="62">
        <f t="shared" si="128"/>
        <v>0</v>
      </c>
      <c r="V171" s="62">
        <f t="shared" si="128"/>
        <v>0</v>
      </c>
      <c r="W171" s="62">
        <f t="shared" si="128"/>
        <v>0</v>
      </c>
      <c r="X171" s="62">
        <f t="shared" si="128"/>
        <v>0</v>
      </c>
      <c r="Y171" s="65"/>
      <c r="Z171" s="19"/>
      <c r="AA171" s="19"/>
      <c r="AB171" s="19"/>
    </row>
    <row r="172" spans="1:28" s="59" customFormat="1" ht="25.5" customHeight="1" x14ac:dyDescent="0.4">
      <c r="A172" s="173"/>
      <c r="B172" s="21" t="s">
        <v>47</v>
      </c>
      <c r="C172" s="66">
        <f>SUM(D172:X172)</f>
        <v>92384184.483870968</v>
      </c>
      <c r="D172" s="67">
        <f>D162-D159</f>
        <v>-2179000</v>
      </c>
      <c r="E172" s="66">
        <f t="shared" ref="E172:X172" si="129">E162-E159</f>
        <v>-36675309</v>
      </c>
      <c r="F172" s="66">
        <f t="shared" si="129"/>
        <v>-80529150</v>
      </c>
      <c r="G172" s="71">
        <f t="shared" si="129"/>
        <v>-55702900</v>
      </c>
      <c r="H172" s="69">
        <f t="shared" si="129"/>
        <v>-32975707</v>
      </c>
      <c r="I172" s="69">
        <f t="shared" si="129"/>
        <v>32145800</v>
      </c>
      <c r="J172" s="69">
        <f t="shared" si="129"/>
        <v>24327100</v>
      </c>
      <c r="K172" s="25">
        <f t="shared" si="129"/>
        <v>56769900</v>
      </c>
      <c r="L172" s="66">
        <f t="shared" si="129"/>
        <v>6252000</v>
      </c>
      <c r="M172" s="66">
        <f t="shared" si="129"/>
        <v>18747000</v>
      </c>
      <c r="N172" s="66">
        <f t="shared" si="129"/>
        <v>-4421000</v>
      </c>
      <c r="O172" s="69">
        <f t="shared" si="129"/>
        <v>596000</v>
      </c>
      <c r="P172" s="72">
        <f t="shared" si="129"/>
        <v>-31866000</v>
      </c>
      <c r="Q172" s="66">
        <f t="shared" si="129"/>
        <v>7932900</v>
      </c>
      <c r="R172" s="69">
        <f t="shared" si="129"/>
        <v>15247935.483870968</v>
      </c>
      <c r="S172" s="70">
        <f t="shared" si="129"/>
        <v>13512000</v>
      </c>
      <c r="T172" s="66">
        <f t="shared" si="129"/>
        <v>18580000</v>
      </c>
      <c r="U172" s="69">
        <f t="shared" si="129"/>
        <v>60961900</v>
      </c>
      <c r="V172" s="69">
        <f t="shared" si="129"/>
        <v>378000</v>
      </c>
      <c r="W172" s="69">
        <f t="shared" si="129"/>
        <v>789000</v>
      </c>
      <c r="X172" s="69">
        <f t="shared" si="129"/>
        <v>80493715</v>
      </c>
      <c r="Y172" s="27"/>
      <c r="Z172" s="58"/>
      <c r="AA172" s="58"/>
      <c r="AB172" s="58"/>
    </row>
    <row r="173" spans="1:28" s="20" customFormat="1" ht="25.5" customHeight="1" x14ac:dyDescent="0.4">
      <c r="A173" s="173"/>
      <c r="B173" s="21" t="s">
        <v>48</v>
      </c>
      <c r="C173" s="60">
        <f>IFERROR(C161/C159,0)</f>
        <v>1.0848659870849153</v>
      </c>
      <c r="D173" s="61">
        <f>IFERROR(D162/D159,0)</f>
        <v>0.97263181692582079</v>
      </c>
      <c r="E173" s="60">
        <f t="shared" ref="E173:X173" si="130">IFERROR(E162/E159,0)</f>
        <v>0.64025583788741414</v>
      </c>
      <c r="F173" s="60">
        <f t="shared" si="130"/>
        <v>0.49445942904638396</v>
      </c>
      <c r="G173" s="73">
        <f t="shared" si="130"/>
        <v>0.82338512815325948</v>
      </c>
      <c r="H173" s="62">
        <f t="shared" si="130"/>
        <v>0.85350113886816892</v>
      </c>
      <c r="I173" s="62">
        <f t="shared" si="130"/>
        <v>0</v>
      </c>
      <c r="J173" s="62">
        <f t="shared" si="130"/>
        <v>0</v>
      </c>
      <c r="K173" s="62">
        <f t="shared" si="130"/>
        <v>0</v>
      </c>
      <c r="L173" s="60">
        <f t="shared" si="130"/>
        <v>1.1794231597072751</v>
      </c>
      <c r="M173" s="60">
        <f t="shared" si="130"/>
        <v>1.8837713612256923</v>
      </c>
      <c r="N173" s="60">
        <f t="shared" si="130"/>
        <v>0.42216703698862895</v>
      </c>
      <c r="O173" s="62">
        <f t="shared" si="130"/>
        <v>0</v>
      </c>
      <c r="P173" s="74">
        <f t="shared" si="130"/>
        <v>0.48403497409326424</v>
      </c>
      <c r="Q173" s="60">
        <f t="shared" si="130"/>
        <v>1.5251107095339278</v>
      </c>
      <c r="R173" s="62">
        <f t="shared" si="130"/>
        <v>0</v>
      </c>
      <c r="S173" s="64">
        <f t="shared" si="130"/>
        <v>1.2470517250836488</v>
      </c>
      <c r="T173" s="60">
        <f t="shared" si="130"/>
        <v>1.1752367299203983</v>
      </c>
      <c r="U173" s="62">
        <f t="shared" si="130"/>
        <v>0</v>
      </c>
      <c r="V173" s="62">
        <f t="shared" si="130"/>
        <v>0</v>
      </c>
      <c r="W173" s="62">
        <f t="shared" si="130"/>
        <v>0</v>
      </c>
      <c r="X173" s="62">
        <f t="shared" si="130"/>
        <v>0</v>
      </c>
      <c r="Y173" s="65"/>
      <c r="Z173" s="19"/>
      <c r="AA173" s="19"/>
      <c r="AB173" s="19"/>
    </row>
    <row r="174" spans="1:28" s="20" customFormat="1" ht="25.5" customHeight="1" x14ac:dyDescent="0.4">
      <c r="A174" s="173"/>
      <c r="B174" s="21" t="s">
        <v>49</v>
      </c>
      <c r="C174" s="66">
        <f>SUM(D174:X174)</f>
        <v>317339223.48387098</v>
      </c>
      <c r="D174" s="67">
        <f>D162-D160</f>
        <v>18337000</v>
      </c>
      <c r="E174" s="66">
        <f t="shared" ref="E174:X174" si="131">E162-E160</f>
        <v>-12570000</v>
      </c>
      <c r="F174" s="66">
        <f t="shared" si="131"/>
        <v>-23833800</v>
      </c>
      <c r="G174" s="71">
        <f t="shared" si="131"/>
        <v>-20177000</v>
      </c>
      <c r="H174" s="66">
        <f t="shared" si="131"/>
        <v>57563193</v>
      </c>
      <c r="I174" s="69">
        <f t="shared" si="131"/>
        <v>32145800</v>
      </c>
      <c r="J174" s="69">
        <f t="shared" si="131"/>
        <v>24327100</v>
      </c>
      <c r="K174" s="25">
        <f t="shared" si="131"/>
        <v>56769900</v>
      </c>
      <c r="L174" s="66">
        <f t="shared" si="131"/>
        <v>20021000</v>
      </c>
      <c r="M174" s="66">
        <f t="shared" si="131"/>
        <v>19596500</v>
      </c>
      <c r="N174" s="66">
        <f t="shared" si="131"/>
        <v>-2013000</v>
      </c>
      <c r="O174" s="69">
        <f t="shared" si="131"/>
        <v>-5701000</v>
      </c>
      <c r="P174" s="71">
        <f t="shared" si="131"/>
        <v>-8026000</v>
      </c>
      <c r="Q174" s="69">
        <f t="shared" si="131"/>
        <v>23040000</v>
      </c>
      <c r="R174" s="69">
        <f t="shared" si="131"/>
        <v>15247935.483870968</v>
      </c>
      <c r="S174" s="70">
        <f t="shared" si="131"/>
        <v>16019000</v>
      </c>
      <c r="T174" s="66">
        <f t="shared" si="131"/>
        <v>41148000</v>
      </c>
      <c r="U174" s="69">
        <f t="shared" si="131"/>
        <v>60961900</v>
      </c>
      <c r="V174" s="69">
        <f t="shared" si="131"/>
        <v>378000</v>
      </c>
      <c r="W174" s="69">
        <f t="shared" si="131"/>
        <v>789000</v>
      </c>
      <c r="X174" s="66">
        <f t="shared" si="131"/>
        <v>3315695</v>
      </c>
      <c r="Y174" s="27"/>
      <c r="Z174" s="19"/>
      <c r="AA174" s="19"/>
      <c r="AB174" s="19"/>
    </row>
    <row r="175" spans="1:28" s="20" customFormat="1" ht="25.5" customHeight="1" x14ac:dyDescent="0.4">
      <c r="A175" s="173"/>
      <c r="B175" s="21" t="s">
        <v>50</v>
      </c>
      <c r="C175" s="60">
        <f>IFERROR(C161/C160,0)</f>
        <v>1.3396952016008774</v>
      </c>
      <c r="D175" s="61">
        <f>IFERROR(D162/D160,0)</f>
        <v>1.310260228080268</v>
      </c>
      <c r="E175" s="60">
        <f t="shared" ref="E175:X175" si="132">IFERROR(E162/E160,0)</f>
        <v>0.83852112585588945</v>
      </c>
      <c r="F175" s="60">
        <f t="shared" si="132"/>
        <v>0.76769677322515684</v>
      </c>
      <c r="G175" s="73">
        <f t="shared" si="132"/>
        <v>0.92790478300329449</v>
      </c>
      <c r="H175" s="60">
        <f t="shared" si="132"/>
        <v>1.4278105504893983</v>
      </c>
      <c r="I175" s="62">
        <f t="shared" si="132"/>
        <v>0</v>
      </c>
      <c r="J175" s="62">
        <f t="shared" si="132"/>
        <v>0</v>
      </c>
      <c r="K175" s="62">
        <f t="shared" si="132"/>
        <v>0</v>
      </c>
      <c r="L175" s="60">
        <f t="shared" si="132"/>
        <v>1.9499430631998482</v>
      </c>
      <c r="M175" s="60">
        <f t="shared" si="132"/>
        <v>1.9623581986937091</v>
      </c>
      <c r="N175" s="60">
        <f t="shared" si="132"/>
        <v>0.61605950791531561</v>
      </c>
      <c r="O175" s="62">
        <f t="shared" si="132"/>
        <v>9.4648245196125136E-2</v>
      </c>
      <c r="P175" s="73">
        <f t="shared" si="132"/>
        <v>0.78834388185654003</v>
      </c>
      <c r="Q175" s="62">
        <f t="shared" si="132"/>
        <v>0</v>
      </c>
      <c r="R175" s="62">
        <f t="shared" si="132"/>
        <v>0</v>
      </c>
      <c r="S175" s="64">
        <f t="shared" si="132"/>
        <v>1.3069597209979689</v>
      </c>
      <c r="T175" s="60">
        <f t="shared" si="132"/>
        <v>1.4930265995686556</v>
      </c>
      <c r="U175" s="62">
        <f t="shared" si="132"/>
        <v>0</v>
      </c>
      <c r="V175" s="62">
        <f t="shared" si="132"/>
        <v>0</v>
      </c>
      <c r="W175" s="62">
        <f t="shared" si="132"/>
        <v>0</v>
      </c>
      <c r="X175" s="60">
        <f t="shared" si="132"/>
        <v>1.0429616489254323</v>
      </c>
      <c r="Y175" s="65"/>
      <c r="Z175" s="19"/>
      <c r="AA175" s="19"/>
      <c r="AB175" s="19"/>
    </row>
    <row r="176" spans="1:28" s="20" customFormat="1" ht="25.5" customHeight="1" x14ac:dyDescent="0.4">
      <c r="A176" s="173"/>
      <c r="B176" s="21" t="s">
        <v>51</v>
      </c>
      <c r="C176" s="66">
        <f>SUM(D176:X176)</f>
        <v>-7981714.5161290318</v>
      </c>
      <c r="D176" s="67">
        <f>D162-D161</f>
        <v>9545000</v>
      </c>
      <c r="E176" s="66">
        <f t="shared" ref="E176:X176" si="133">E162-E161</f>
        <v>-10326500</v>
      </c>
      <c r="F176" s="66">
        <f t="shared" si="133"/>
        <v>-21884000</v>
      </c>
      <c r="G176" s="71">
        <f t="shared" si="133"/>
        <v>-51329700</v>
      </c>
      <c r="H176" s="66">
        <f t="shared" si="133"/>
        <v>-8533557</v>
      </c>
      <c r="I176" s="69">
        <f t="shared" si="133"/>
        <v>32145800</v>
      </c>
      <c r="J176" s="69">
        <f t="shared" si="133"/>
        <v>24327100</v>
      </c>
      <c r="K176" s="22">
        <f t="shared" si="133"/>
        <v>-27049600</v>
      </c>
      <c r="L176" s="66">
        <f t="shared" si="133"/>
        <v>-49825000</v>
      </c>
      <c r="M176" s="66">
        <f t="shared" si="133"/>
        <v>21111500</v>
      </c>
      <c r="N176" s="66">
        <f t="shared" si="133"/>
        <v>-1979000</v>
      </c>
      <c r="O176" s="69">
        <f t="shared" si="133"/>
        <v>-158000</v>
      </c>
      <c r="P176" s="71">
        <f t="shared" si="133"/>
        <v>-11764000</v>
      </c>
      <c r="Q176" s="69">
        <f t="shared" si="133"/>
        <v>23040000</v>
      </c>
      <c r="R176" s="66">
        <f t="shared" si="133"/>
        <v>15247935.483870968</v>
      </c>
      <c r="S176" s="66">
        <f t="shared" si="133"/>
        <v>17017000</v>
      </c>
      <c r="T176" s="66">
        <f t="shared" si="133"/>
        <v>-10349000</v>
      </c>
      <c r="U176" s="66">
        <f t="shared" si="133"/>
        <v>8119900</v>
      </c>
      <c r="V176" s="69">
        <f t="shared" si="133"/>
        <v>378000</v>
      </c>
      <c r="W176" s="66">
        <f t="shared" si="133"/>
        <v>201000</v>
      </c>
      <c r="X176" s="66">
        <f t="shared" si="133"/>
        <v>34083407</v>
      </c>
      <c r="Y176" s="27"/>
      <c r="Z176" s="19"/>
      <c r="AA176" s="19"/>
      <c r="AB176" s="19"/>
    </row>
    <row r="177" spans="1:29" s="20" customFormat="1" ht="25.5" customHeight="1" x14ac:dyDescent="0.4">
      <c r="A177" s="173"/>
      <c r="B177" s="21" t="s">
        <v>52</v>
      </c>
      <c r="C177" s="60">
        <f>IFERROR(C163/C162,0)</f>
        <v>1.1984872032880456</v>
      </c>
      <c r="D177" s="61">
        <f>IFERROR(D162/D161,0)</f>
        <v>1.1405867970660146</v>
      </c>
      <c r="E177" s="60">
        <f t="shared" ref="E177:X177" si="134">IFERROR(E162/E161,0)</f>
        <v>0.86340518125119881</v>
      </c>
      <c r="F177" s="60">
        <f t="shared" si="134"/>
        <v>0.78256895318337172</v>
      </c>
      <c r="G177" s="73">
        <f t="shared" si="134"/>
        <v>0.8349626565862438</v>
      </c>
      <c r="H177" s="60">
        <f t="shared" si="134"/>
        <v>0.95747038309292687</v>
      </c>
      <c r="I177" s="62">
        <f t="shared" si="134"/>
        <v>0</v>
      </c>
      <c r="J177" s="62">
        <f t="shared" si="134"/>
        <v>0</v>
      </c>
      <c r="K177" s="60">
        <f t="shared" si="134"/>
        <v>0.67728750469759424</v>
      </c>
      <c r="L177" s="60">
        <f t="shared" si="134"/>
        <v>0.45200281560018479</v>
      </c>
      <c r="M177" s="60">
        <f t="shared" si="134"/>
        <v>2.1200923174872663</v>
      </c>
      <c r="N177" s="60">
        <f t="shared" si="134"/>
        <v>0.62008062967940103</v>
      </c>
      <c r="O177" s="62">
        <f t="shared" si="134"/>
        <v>0.79045092838196285</v>
      </c>
      <c r="P177" s="73">
        <f t="shared" si="134"/>
        <v>0.71760526189447404</v>
      </c>
      <c r="Q177" s="62">
        <f t="shared" si="134"/>
        <v>0</v>
      </c>
      <c r="R177" s="60">
        <f t="shared" si="134"/>
        <v>0</v>
      </c>
      <c r="S177" s="60">
        <f t="shared" si="134"/>
        <v>1.3324411971555834</v>
      </c>
      <c r="T177" s="60">
        <f t="shared" si="134"/>
        <v>0.92331631556718063</v>
      </c>
      <c r="U177" s="60">
        <f t="shared" si="134"/>
        <v>1.1536637523182318</v>
      </c>
      <c r="V177" s="62">
        <f t="shared" si="134"/>
        <v>0</v>
      </c>
      <c r="W177" s="60">
        <f t="shared" si="134"/>
        <v>1.3418367346938775</v>
      </c>
      <c r="X177" s="60">
        <f t="shared" si="134"/>
        <v>1.734393036133266</v>
      </c>
      <c r="Y177" s="65"/>
      <c r="Z177" s="19"/>
      <c r="AA177" s="19"/>
      <c r="AB177" s="19"/>
    </row>
    <row r="178" spans="1:29" s="82" customFormat="1" ht="25.5" customHeight="1" x14ac:dyDescent="0.4">
      <c r="A178" s="173"/>
      <c r="B178" s="75" t="s">
        <v>53</v>
      </c>
      <c r="C178" s="76">
        <f>SUM(D178:X178)</f>
        <v>-253075956.51612902</v>
      </c>
      <c r="D178" s="77">
        <f>D162-D163</f>
        <v>8139000</v>
      </c>
      <c r="E178" s="76">
        <f t="shared" ref="E178:X178" si="135">E162-E163</f>
        <v>-11927000</v>
      </c>
      <c r="F178" s="76">
        <f t="shared" si="135"/>
        <v>-23936000</v>
      </c>
      <c r="G178" s="78">
        <f t="shared" si="135"/>
        <v>-63811000</v>
      </c>
      <c r="H178" s="76">
        <f t="shared" si="135"/>
        <v>-18583807</v>
      </c>
      <c r="I178" s="76">
        <f t="shared" si="135"/>
        <v>-9054200</v>
      </c>
      <c r="J178" s="76">
        <f t="shared" si="135"/>
        <v>-4572900</v>
      </c>
      <c r="K178" s="76">
        <f t="shared" si="135"/>
        <v>-28730100</v>
      </c>
      <c r="L178" s="76">
        <f t="shared" si="135"/>
        <v>-51703000</v>
      </c>
      <c r="M178" s="76">
        <f t="shared" si="135"/>
        <v>-7240500</v>
      </c>
      <c r="N178" s="76">
        <f t="shared" si="135"/>
        <v>-2170000</v>
      </c>
      <c r="O178" s="76">
        <f t="shared" si="135"/>
        <v>-204000</v>
      </c>
      <c r="P178" s="78">
        <f t="shared" si="135"/>
        <v>-12606000</v>
      </c>
      <c r="Q178" s="76">
        <f t="shared" si="135"/>
        <v>-16660000</v>
      </c>
      <c r="R178" s="76">
        <f t="shared" si="135"/>
        <v>-14752064.516129032</v>
      </c>
      <c r="S178" s="76">
        <f t="shared" si="135"/>
        <v>1605000</v>
      </c>
      <c r="T178" s="76">
        <f t="shared" si="135"/>
        <v>-592000</v>
      </c>
      <c r="U178" s="76">
        <f t="shared" si="135"/>
        <v>-18338100</v>
      </c>
      <c r="V178" s="76">
        <f t="shared" si="135"/>
        <v>-9622000</v>
      </c>
      <c r="W178" s="76">
        <f t="shared" si="135"/>
        <v>-11000</v>
      </c>
      <c r="X178" s="76">
        <f t="shared" si="135"/>
        <v>31693715</v>
      </c>
      <c r="Y178" s="80"/>
      <c r="Z178" s="81"/>
      <c r="AA178" s="81"/>
      <c r="AB178" s="81"/>
    </row>
    <row r="179" spans="1:29" s="44" customFormat="1" ht="25.5" customHeight="1" thickBot="1" x14ac:dyDescent="0.45">
      <c r="A179" s="174"/>
      <c r="B179" s="83" t="s">
        <v>54</v>
      </c>
      <c r="C179" s="84">
        <f>IFERROR(C161/C163,0)</f>
        <v>0.83960850598782799</v>
      </c>
      <c r="D179" s="85">
        <f>IFERROR(D162/D163,0)</f>
        <v>1.1174458874458875</v>
      </c>
      <c r="E179" s="84">
        <f t="shared" ref="E179:X179" si="136">IFERROR(E162/E163,0)</f>
        <v>0.84550518134715025</v>
      </c>
      <c r="F179" s="84">
        <f t="shared" si="136"/>
        <v>0.76693281402142166</v>
      </c>
      <c r="G179" s="86">
        <f t="shared" si="136"/>
        <v>0.80274806800618237</v>
      </c>
      <c r="H179" s="84">
        <f t="shared" si="136"/>
        <v>0.91179968201233985</v>
      </c>
      <c r="I179" s="84">
        <f t="shared" si="136"/>
        <v>0.78023786407766993</v>
      </c>
      <c r="J179" s="84">
        <f t="shared" si="136"/>
        <v>0.84176816608996541</v>
      </c>
      <c r="K179" s="84">
        <f t="shared" si="136"/>
        <v>0.66397543859649122</v>
      </c>
      <c r="L179" s="84">
        <f t="shared" si="136"/>
        <v>0.44285560344827585</v>
      </c>
      <c r="M179" s="84">
        <f t="shared" si="136"/>
        <v>0.84659957627118643</v>
      </c>
      <c r="N179" s="84">
        <f t="shared" si="136"/>
        <v>0.5981481481481481</v>
      </c>
      <c r="O179" s="84">
        <f t="shared" si="136"/>
        <v>0.745</v>
      </c>
      <c r="P179" s="86">
        <f t="shared" si="136"/>
        <v>0.70338823529411765</v>
      </c>
      <c r="Q179" s="84">
        <f t="shared" si="136"/>
        <v>0.58035264483627202</v>
      </c>
      <c r="R179" s="84">
        <f t="shared" si="136"/>
        <v>0.50826451612903223</v>
      </c>
      <c r="S179" s="84">
        <f t="shared" si="136"/>
        <v>1.024099099099099</v>
      </c>
      <c r="T179" s="84">
        <f t="shared" si="136"/>
        <v>0.99527156549520768</v>
      </c>
      <c r="U179" s="84">
        <f t="shared" si="136"/>
        <v>0.76875031525851201</v>
      </c>
      <c r="V179" s="84">
        <f t="shared" si="136"/>
        <v>3.78E-2</v>
      </c>
      <c r="W179" s="84">
        <f t="shared" si="136"/>
        <v>0.98624999999999996</v>
      </c>
      <c r="X179" s="84">
        <f t="shared" si="136"/>
        <v>1.6494613729508196</v>
      </c>
      <c r="Y179" s="88"/>
      <c r="Z179" s="43"/>
      <c r="AA179" s="43"/>
      <c r="AB179" s="43"/>
    </row>
    <row r="180" spans="1:29" s="20" customFormat="1" ht="25.5" customHeight="1" thickTop="1" x14ac:dyDescent="0.4">
      <c r="A180" s="172" t="s">
        <v>63</v>
      </c>
      <c r="B180" s="89" t="s">
        <v>29</v>
      </c>
      <c r="C180" s="90">
        <f t="shared" ref="C180:C186" si="137">SUM(D180:X180)</f>
        <v>958136900</v>
      </c>
      <c r="D180" s="91">
        <v>84589000</v>
      </c>
      <c r="E180" s="90">
        <v>171817500</v>
      </c>
      <c r="F180" s="92">
        <v>0</v>
      </c>
      <c r="G180" s="93">
        <v>0</v>
      </c>
      <c r="H180" s="92">
        <v>0</v>
      </c>
      <c r="I180" s="90">
        <v>54397000</v>
      </c>
      <c r="J180" s="92">
        <v>0</v>
      </c>
      <c r="K180" s="94">
        <v>151277000</v>
      </c>
      <c r="L180" s="90">
        <v>32023000</v>
      </c>
      <c r="M180" s="90">
        <v>37297500</v>
      </c>
      <c r="N180" s="90">
        <v>13454000</v>
      </c>
      <c r="O180" s="92"/>
      <c r="P180" s="93">
        <v>0</v>
      </c>
      <c r="Q180" s="94">
        <v>213119900</v>
      </c>
      <c r="R180" s="92"/>
      <c r="S180" s="94">
        <v>45385000</v>
      </c>
      <c r="T180" s="94">
        <v>154777000</v>
      </c>
      <c r="U180" s="92"/>
      <c r="V180" s="92"/>
      <c r="W180" s="92"/>
      <c r="X180" s="92"/>
      <c r="Y180" s="95"/>
      <c r="Z180" s="19"/>
      <c r="AA180" s="19"/>
      <c r="AB180" s="19"/>
    </row>
    <row r="181" spans="1:29" s="20" customFormat="1" ht="25.5" customHeight="1" x14ac:dyDescent="0.4">
      <c r="A181" s="173"/>
      <c r="B181" s="21" t="s">
        <v>30</v>
      </c>
      <c r="C181" s="22">
        <f t="shared" si="137"/>
        <v>356892600</v>
      </c>
      <c r="D181" s="23">
        <v>28233000</v>
      </c>
      <c r="E181" s="22">
        <v>37221700</v>
      </c>
      <c r="F181" s="22">
        <v>77597000</v>
      </c>
      <c r="G181" s="24">
        <v>0</v>
      </c>
      <c r="H181" s="25">
        <v>0</v>
      </c>
      <c r="I181" s="22">
        <v>18655900</v>
      </c>
      <c r="J181" s="25">
        <v>0</v>
      </c>
      <c r="K181" s="25">
        <v>0</v>
      </c>
      <c r="L181" s="22">
        <v>20886000</v>
      </c>
      <c r="M181" s="22">
        <v>24307000</v>
      </c>
      <c r="N181" s="22">
        <v>2454000</v>
      </c>
      <c r="O181" s="25"/>
      <c r="P181" s="29">
        <v>55834000</v>
      </c>
      <c r="Q181" s="26">
        <v>0</v>
      </c>
      <c r="R181" s="25"/>
      <c r="S181" s="26">
        <v>30829000</v>
      </c>
      <c r="T181" s="26">
        <v>60875000</v>
      </c>
      <c r="U181" s="25"/>
      <c r="V181" s="25"/>
      <c r="W181" s="25"/>
      <c r="X181" s="25"/>
      <c r="Y181" s="27"/>
    </row>
    <row r="182" spans="1:29" s="20" customFormat="1" ht="25.5" customHeight="1" x14ac:dyDescent="0.4">
      <c r="A182" s="173"/>
      <c r="B182" s="21" t="s">
        <v>31</v>
      </c>
      <c r="C182" s="22">
        <f t="shared" si="137"/>
        <v>418164400</v>
      </c>
      <c r="D182" s="23">
        <v>22666000</v>
      </c>
      <c r="E182" s="22">
        <v>31471000</v>
      </c>
      <c r="F182" s="22">
        <v>41229000</v>
      </c>
      <c r="G182" s="28">
        <v>76265000</v>
      </c>
      <c r="H182" s="25">
        <v>0</v>
      </c>
      <c r="I182" s="22">
        <v>27283400</v>
      </c>
      <c r="J182" s="25">
        <v>0</v>
      </c>
      <c r="K182" s="25">
        <v>0</v>
      </c>
      <c r="L182" s="22">
        <v>20984000</v>
      </c>
      <c r="M182" s="22">
        <v>22203000</v>
      </c>
      <c r="N182" s="22">
        <v>5810000</v>
      </c>
      <c r="O182" s="25"/>
      <c r="P182" s="29">
        <v>42036000</v>
      </c>
      <c r="Q182" s="26">
        <v>32339000</v>
      </c>
      <c r="R182" s="25"/>
      <c r="S182" s="26">
        <v>43380000</v>
      </c>
      <c r="T182" s="26">
        <v>52498000</v>
      </c>
      <c r="U182" s="25"/>
      <c r="V182" s="25"/>
      <c r="W182" s="25"/>
      <c r="X182" s="25"/>
      <c r="Y182" s="27"/>
      <c r="Z182" s="19">
        <f>IFERROR(#REF!/#REF!-1,0)</f>
        <v>0</v>
      </c>
      <c r="AA182" s="19">
        <f>IFERROR(C182/C181-1,0)</f>
        <v>0.17168134054894946</v>
      </c>
      <c r="AB182" s="19">
        <f>IFERROR(#REF!/#REF!-1,0)</f>
        <v>0</v>
      </c>
    </row>
    <row r="183" spans="1:29" s="20" customFormat="1" ht="25.5" customHeight="1" x14ac:dyDescent="0.4">
      <c r="A183" s="173"/>
      <c r="B183" s="96" t="s">
        <v>56</v>
      </c>
      <c r="C183" s="22">
        <f t="shared" si="137"/>
        <v>1547608740</v>
      </c>
      <c r="D183" s="97">
        <v>125357000</v>
      </c>
      <c r="E183" s="98">
        <v>123617000</v>
      </c>
      <c r="F183" s="98">
        <v>231130800</v>
      </c>
      <c r="G183" s="99">
        <v>572594300</v>
      </c>
      <c r="H183" s="100">
        <v>0</v>
      </c>
      <c r="I183" s="100">
        <v>0</v>
      </c>
      <c r="J183" s="100">
        <v>0</v>
      </c>
      <c r="K183" s="100">
        <v>0</v>
      </c>
      <c r="L183" s="98">
        <v>46754000</v>
      </c>
      <c r="M183" s="98">
        <v>33071000</v>
      </c>
      <c r="N183" s="98">
        <v>10625220</v>
      </c>
      <c r="O183" s="100"/>
      <c r="P183" s="101">
        <v>74463000</v>
      </c>
      <c r="Q183" s="102">
        <v>151729000</v>
      </c>
      <c r="R183" s="100"/>
      <c r="S183" s="102">
        <v>63426000</v>
      </c>
      <c r="T183" s="102">
        <v>114841420</v>
      </c>
      <c r="U183" s="100"/>
      <c r="V183" s="100"/>
      <c r="W183" s="100"/>
      <c r="X183" s="100"/>
      <c r="Y183" s="103"/>
      <c r="Z183" s="19"/>
      <c r="AA183" s="19"/>
      <c r="AB183" s="19"/>
    </row>
    <row r="184" spans="1:29" s="44" customFormat="1" ht="25.5" customHeight="1" x14ac:dyDescent="0.4">
      <c r="A184" s="173"/>
      <c r="B184" s="21" t="s">
        <v>33</v>
      </c>
      <c r="C184" s="22">
        <f t="shared" si="137"/>
        <v>1585007770</v>
      </c>
      <c r="D184" s="23">
        <v>121476000</v>
      </c>
      <c r="E184" s="22">
        <v>129739000</v>
      </c>
      <c r="F184" s="22">
        <v>234325700</v>
      </c>
      <c r="G184" s="28">
        <v>490177020</v>
      </c>
      <c r="H184" s="22">
        <v>233225850</v>
      </c>
      <c r="I184" s="25">
        <v>0</v>
      </c>
      <c r="J184" s="25">
        <v>0</v>
      </c>
      <c r="K184" s="25">
        <v>0</v>
      </c>
      <c r="L184" s="22">
        <v>35818000</v>
      </c>
      <c r="M184" s="22">
        <v>24439500</v>
      </c>
      <c r="N184" s="22">
        <v>9410000</v>
      </c>
      <c r="O184" s="25"/>
      <c r="P184" s="28">
        <v>65514000</v>
      </c>
      <c r="Q184" s="22">
        <v>33853400</v>
      </c>
      <c r="R184" s="25"/>
      <c r="S184" s="26">
        <v>61713000</v>
      </c>
      <c r="T184" s="22">
        <v>135817000</v>
      </c>
      <c r="U184" s="25"/>
      <c r="V184" s="25"/>
      <c r="W184" s="25"/>
      <c r="X184" s="22">
        <v>9499300</v>
      </c>
      <c r="Y184" s="27"/>
      <c r="Z184" s="43"/>
      <c r="AA184" s="43"/>
      <c r="AB184" s="43"/>
      <c r="AC184" s="20"/>
    </row>
    <row r="185" spans="1:29" s="20" customFormat="1" ht="25.5" customHeight="1" x14ac:dyDescent="0.4">
      <c r="A185" s="173"/>
      <c r="B185" s="30" t="s">
        <v>34</v>
      </c>
      <c r="C185" s="22">
        <f t="shared" si="137"/>
        <v>1355948810</v>
      </c>
      <c r="D185" s="32">
        <v>105749000</v>
      </c>
      <c r="E185" s="31">
        <v>111783000</v>
      </c>
      <c r="F185" s="31">
        <v>185419100</v>
      </c>
      <c r="G185" s="33">
        <v>423939020</v>
      </c>
      <c r="H185" s="31">
        <v>198078300</v>
      </c>
      <c r="I185" s="34">
        <v>0</v>
      </c>
      <c r="J185" s="34">
        <v>0</v>
      </c>
      <c r="K185" s="34"/>
      <c r="L185" s="31">
        <v>29378000</v>
      </c>
      <c r="M185" s="31">
        <v>24820500</v>
      </c>
      <c r="N185" s="31">
        <v>7531000</v>
      </c>
      <c r="O185" s="31">
        <v>8175000</v>
      </c>
      <c r="P185" s="33">
        <v>58433000</v>
      </c>
      <c r="Q185" s="34">
        <v>0</v>
      </c>
      <c r="R185" s="34"/>
      <c r="S185" s="35">
        <v>57084000</v>
      </c>
      <c r="T185" s="31">
        <v>111441000</v>
      </c>
      <c r="U185" s="34"/>
      <c r="V185" s="34"/>
      <c r="W185" s="34"/>
      <c r="X185" s="31">
        <v>34117890</v>
      </c>
      <c r="Y185" s="42"/>
      <c r="Z185" s="19"/>
      <c r="AA185" s="19"/>
      <c r="AB185" s="19"/>
    </row>
    <row r="186" spans="1:29" s="20" customFormat="1" ht="25.5" customHeight="1" x14ac:dyDescent="0.4">
      <c r="A186" s="173"/>
      <c r="B186" s="30" t="s">
        <v>57</v>
      </c>
      <c r="C186" s="31">
        <f t="shared" si="137"/>
        <v>1579309380</v>
      </c>
      <c r="D186" s="32">
        <v>94846000</v>
      </c>
      <c r="E186" s="31">
        <v>83199000</v>
      </c>
      <c r="F186" s="31">
        <v>142283600</v>
      </c>
      <c r="G186" s="33">
        <v>404915700</v>
      </c>
      <c r="H186" s="31">
        <v>227395300</v>
      </c>
      <c r="I186" s="34">
        <v>0</v>
      </c>
      <c r="J186" s="34">
        <v>0</v>
      </c>
      <c r="K186" s="31">
        <v>144990500</v>
      </c>
      <c r="L186" s="31">
        <v>79464000</v>
      </c>
      <c r="M186" s="31">
        <v>20613500</v>
      </c>
      <c r="N186" s="31">
        <v>4629000</v>
      </c>
      <c r="O186" s="31">
        <v>1196000</v>
      </c>
      <c r="P186" s="33">
        <v>51666000</v>
      </c>
      <c r="Q186" s="34">
        <v>0</v>
      </c>
      <c r="R186" s="34"/>
      <c r="S186" s="31">
        <v>56732000</v>
      </c>
      <c r="T186" s="31">
        <v>183756000</v>
      </c>
      <c r="U186" s="31">
        <v>58985000</v>
      </c>
      <c r="V186" s="34">
        <v>0</v>
      </c>
      <c r="W186" s="31">
        <v>624000</v>
      </c>
      <c r="X186" s="31">
        <v>24013780</v>
      </c>
      <c r="Y186" s="36"/>
      <c r="Z186" s="19"/>
      <c r="AA186" s="19"/>
      <c r="AB186" s="19"/>
    </row>
    <row r="187" spans="1:29" s="44" customFormat="1" ht="25.5" customHeight="1" x14ac:dyDescent="0.4">
      <c r="A187" s="173"/>
      <c r="B187" s="37" t="s">
        <v>36</v>
      </c>
      <c r="C187" s="38">
        <f t="shared" ref="C187:C188" si="138">SUM(D187:X187)</f>
        <v>1576515725</v>
      </c>
      <c r="D187" s="39">
        <v>120962000</v>
      </c>
      <c r="E187" s="38">
        <v>79622000</v>
      </c>
      <c r="F187" s="38">
        <v>119517000</v>
      </c>
      <c r="G187" s="40">
        <v>365986300</v>
      </c>
      <c r="H187" s="38">
        <v>228940961</v>
      </c>
      <c r="I187" s="38">
        <v>35137700</v>
      </c>
      <c r="J187" s="38">
        <v>29525110</v>
      </c>
      <c r="K187" s="38">
        <v>91006800</v>
      </c>
      <c r="L187" s="38">
        <v>43490000</v>
      </c>
      <c r="M187" s="38">
        <v>45593500</v>
      </c>
      <c r="N187" s="38">
        <v>3717000</v>
      </c>
      <c r="O187" s="38">
        <v>793000</v>
      </c>
      <c r="P187" s="40">
        <v>39333000</v>
      </c>
      <c r="Q187" s="38">
        <v>26034000</v>
      </c>
      <c r="R187" s="38">
        <v>15695000</v>
      </c>
      <c r="S187" s="38">
        <v>77454000</v>
      </c>
      <c r="T187" s="38">
        <v>158224000</v>
      </c>
      <c r="U187" s="38">
        <v>68213000</v>
      </c>
      <c r="V187" s="38">
        <v>506000</v>
      </c>
      <c r="W187" s="38">
        <v>573000</v>
      </c>
      <c r="X187" s="38">
        <v>26192354</v>
      </c>
      <c r="Y187" s="42"/>
      <c r="Z187" s="43"/>
      <c r="AA187" s="43"/>
      <c r="AB187" s="43"/>
    </row>
    <row r="188" spans="1:29" s="44" customFormat="1" ht="25.5" customHeight="1" x14ac:dyDescent="0.4">
      <c r="A188" s="173"/>
      <c r="B188" s="45" t="s">
        <v>37</v>
      </c>
      <c r="C188" s="46">
        <f t="shared" si="138"/>
        <v>1856500000</v>
      </c>
      <c r="D188" s="47">
        <f>ROUNDUP(D186*102%,-5)</f>
        <v>96800000</v>
      </c>
      <c r="E188" s="46">
        <f t="shared" ref="E188" si="139">ROUNDUP(E186*102%,-5)</f>
        <v>84900000</v>
      </c>
      <c r="F188" s="46">
        <f>ROUNDUP(F186*102%,-5)</f>
        <v>145200000</v>
      </c>
      <c r="G188" s="48">
        <f>ROUNDUP(G186*104%,-5)</f>
        <v>421200000</v>
      </c>
      <c r="H188" s="46">
        <f>ROUNDUP(H186*105%,-5)</f>
        <v>238800000</v>
      </c>
      <c r="I188" s="50">
        <f>ROUNDUP(I180*102%,-5)</f>
        <v>55500000</v>
      </c>
      <c r="J188" s="50">
        <f>ROUNDUP(I188*70%,-5)</f>
        <v>38900000</v>
      </c>
      <c r="K188" s="46">
        <f>ROUNDUP(K186*102%,-5)</f>
        <v>147900000</v>
      </c>
      <c r="L188" s="50">
        <f>ROUNDUP(L186*70%,-5)</f>
        <v>55700000</v>
      </c>
      <c r="M188" s="50">
        <f>ROUNDUP(M186*250%,-5)</f>
        <v>51600000</v>
      </c>
      <c r="N188" s="46">
        <f t="shared" ref="N188:P188" si="140">ROUNDUP(N186*102%,-5)</f>
        <v>4800000</v>
      </c>
      <c r="O188" s="46">
        <f t="shared" si="140"/>
        <v>1300000</v>
      </c>
      <c r="P188" s="48">
        <f t="shared" si="140"/>
        <v>52700000</v>
      </c>
      <c r="Q188" s="50">
        <f>ROUNDUP(U188*50%,-5)</f>
        <v>44300000</v>
      </c>
      <c r="R188" s="50">
        <v>40000000</v>
      </c>
      <c r="S188" s="50">
        <f>ROUNDUP(S186*130%,-5)</f>
        <v>73800000</v>
      </c>
      <c r="T188" s="46">
        <f t="shared" ref="T188" si="141">ROUNDUP(T186*102%,-5)</f>
        <v>187500000</v>
      </c>
      <c r="U188" s="50">
        <f>ROUNDUP(U186*150%,-5)</f>
        <v>88500000</v>
      </c>
      <c r="V188" s="50">
        <v>1000000</v>
      </c>
      <c r="W188" s="50">
        <f>ROUNDUP(W186*120%,-5)</f>
        <v>800000</v>
      </c>
      <c r="X188" s="46">
        <f>ROUNDUP(X186*105%,-5)</f>
        <v>25300000</v>
      </c>
      <c r="Y188" s="51" t="s">
        <v>38</v>
      </c>
      <c r="Z188" s="43"/>
      <c r="AA188" s="43">
        <f>D188/D180</f>
        <v>1.1443568312664767</v>
      </c>
      <c r="AB188" s="43"/>
      <c r="AC188" s="106"/>
    </row>
    <row r="189" spans="1:29" s="59" customFormat="1" ht="25.5" customHeight="1" x14ac:dyDescent="0.4">
      <c r="A189" s="173"/>
      <c r="B189" s="12" t="s">
        <v>39</v>
      </c>
      <c r="C189" s="52">
        <f>SUM(D189:X189)</f>
        <v>618378825</v>
      </c>
      <c r="D189" s="53">
        <f>D187-D180</f>
        <v>36373000</v>
      </c>
      <c r="E189" s="52">
        <f t="shared" ref="E189:X189" si="142">E187-E180</f>
        <v>-92195500</v>
      </c>
      <c r="F189" s="54">
        <f t="shared" si="142"/>
        <v>119517000</v>
      </c>
      <c r="G189" s="55">
        <f t="shared" si="142"/>
        <v>365986300</v>
      </c>
      <c r="H189" s="54">
        <f t="shared" si="142"/>
        <v>228940961</v>
      </c>
      <c r="I189" s="52">
        <f t="shared" si="142"/>
        <v>-19259300</v>
      </c>
      <c r="J189" s="52">
        <f t="shared" si="142"/>
        <v>29525110</v>
      </c>
      <c r="K189" s="56">
        <f t="shared" si="142"/>
        <v>-60270200</v>
      </c>
      <c r="L189" s="52">
        <f t="shared" si="142"/>
        <v>11467000</v>
      </c>
      <c r="M189" s="52">
        <f t="shared" si="142"/>
        <v>8296000</v>
      </c>
      <c r="N189" s="52">
        <f t="shared" si="142"/>
        <v>-9737000</v>
      </c>
      <c r="O189" s="54">
        <f t="shared" si="142"/>
        <v>793000</v>
      </c>
      <c r="P189" s="55">
        <f t="shared" si="142"/>
        <v>39333000</v>
      </c>
      <c r="Q189" s="56">
        <f t="shared" si="142"/>
        <v>-187085900</v>
      </c>
      <c r="R189" s="54">
        <f t="shared" si="142"/>
        <v>15695000</v>
      </c>
      <c r="S189" s="56">
        <f t="shared" si="142"/>
        <v>32069000</v>
      </c>
      <c r="T189" s="56">
        <f t="shared" si="142"/>
        <v>3447000</v>
      </c>
      <c r="U189" s="54">
        <f t="shared" si="142"/>
        <v>68213000</v>
      </c>
      <c r="V189" s="54">
        <f t="shared" si="142"/>
        <v>506000</v>
      </c>
      <c r="W189" s="54">
        <f t="shared" si="142"/>
        <v>573000</v>
      </c>
      <c r="X189" s="54">
        <f t="shared" si="142"/>
        <v>26192354</v>
      </c>
      <c r="Y189" s="57"/>
      <c r="Z189" s="58"/>
      <c r="AA189" s="58"/>
      <c r="AB189" s="58"/>
    </row>
    <row r="190" spans="1:29" s="20" customFormat="1" ht="25.5" customHeight="1" x14ac:dyDescent="0.4">
      <c r="A190" s="173"/>
      <c r="B190" s="21" t="s">
        <v>40</v>
      </c>
      <c r="C190" s="60">
        <f>IFERROR(C186/C180,0)</f>
        <v>1.6483128663555282</v>
      </c>
      <c r="D190" s="61">
        <f>IFERROR(D187/D180,0)</f>
        <v>1.4299968080956154</v>
      </c>
      <c r="E190" s="60">
        <f t="shared" ref="E190:X190" si="143">IFERROR(E187/E180,0)</f>
        <v>0.4634103045382455</v>
      </c>
      <c r="F190" s="62">
        <f t="shared" si="143"/>
        <v>0</v>
      </c>
      <c r="G190" s="63">
        <f t="shared" si="143"/>
        <v>0</v>
      </c>
      <c r="H190" s="62">
        <f t="shared" si="143"/>
        <v>0</v>
      </c>
      <c r="I190" s="60">
        <f t="shared" si="143"/>
        <v>0.64594922514109232</v>
      </c>
      <c r="J190" s="60">
        <f t="shared" si="143"/>
        <v>0</v>
      </c>
      <c r="K190" s="64">
        <f t="shared" si="143"/>
        <v>0.60159045988484705</v>
      </c>
      <c r="L190" s="60">
        <f t="shared" si="143"/>
        <v>1.3580863754176686</v>
      </c>
      <c r="M190" s="60">
        <f t="shared" si="143"/>
        <v>1.2224277766606342</v>
      </c>
      <c r="N190" s="60">
        <f t="shared" si="143"/>
        <v>0.27627471383975027</v>
      </c>
      <c r="O190" s="62">
        <f t="shared" si="143"/>
        <v>0</v>
      </c>
      <c r="P190" s="63">
        <f t="shared" si="143"/>
        <v>0</v>
      </c>
      <c r="Q190" s="64">
        <f t="shared" si="143"/>
        <v>0.12215658884975078</v>
      </c>
      <c r="R190" s="62">
        <f t="shared" si="143"/>
        <v>0</v>
      </c>
      <c r="S190" s="64">
        <f t="shared" si="143"/>
        <v>1.7065990966178253</v>
      </c>
      <c r="T190" s="64">
        <f t="shared" si="143"/>
        <v>1.0222707508221507</v>
      </c>
      <c r="U190" s="62">
        <f t="shared" si="143"/>
        <v>0</v>
      </c>
      <c r="V190" s="62">
        <f t="shared" si="143"/>
        <v>0</v>
      </c>
      <c r="W190" s="62">
        <f t="shared" si="143"/>
        <v>0</v>
      </c>
      <c r="X190" s="62">
        <f t="shared" si="143"/>
        <v>0</v>
      </c>
      <c r="Y190" s="65"/>
      <c r="Z190" s="19"/>
      <c r="AA190" s="19"/>
      <c r="AB190" s="19"/>
    </row>
    <row r="191" spans="1:29" s="59" customFormat="1" ht="25.5" customHeight="1" x14ac:dyDescent="0.4">
      <c r="A191" s="173"/>
      <c r="B191" s="21" t="s">
        <v>41</v>
      </c>
      <c r="C191" s="66">
        <f>SUM(D191:X191)</f>
        <v>1219623125</v>
      </c>
      <c r="D191" s="67">
        <f>D187-D181</f>
        <v>92729000</v>
      </c>
      <c r="E191" s="66">
        <f t="shared" ref="E191:X191" si="144">E187-E181</f>
        <v>42400300</v>
      </c>
      <c r="F191" s="66">
        <f t="shared" si="144"/>
        <v>41920000</v>
      </c>
      <c r="G191" s="68">
        <f t="shared" si="144"/>
        <v>365986300</v>
      </c>
      <c r="H191" s="69">
        <f t="shared" si="144"/>
        <v>228940961</v>
      </c>
      <c r="I191" s="66">
        <f t="shared" si="144"/>
        <v>16481800</v>
      </c>
      <c r="J191" s="69">
        <f t="shared" si="144"/>
        <v>29525110</v>
      </c>
      <c r="K191" s="70">
        <f t="shared" si="144"/>
        <v>91006800</v>
      </c>
      <c r="L191" s="66">
        <f t="shared" si="144"/>
        <v>22604000</v>
      </c>
      <c r="M191" s="66">
        <f t="shared" si="144"/>
        <v>21286500</v>
      </c>
      <c r="N191" s="66">
        <f t="shared" si="144"/>
        <v>1263000</v>
      </c>
      <c r="O191" s="69">
        <f t="shared" si="144"/>
        <v>793000</v>
      </c>
      <c r="P191" s="68">
        <f t="shared" si="144"/>
        <v>-16501000</v>
      </c>
      <c r="Q191" s="70">
        <f t="shared" si="144"/>
        <v>26034000</v>
      </c>
      <c r="R191" s="69">
        <f t="shared" si="144"/>
        <v>15695000</v>
      </c>
      <c r="S191" s="70">
        <f t="shared" si="144"/>
        <v>46625000</v>
      </c>
      <c r="T191" s="70">
        <f t="shared" si="144"/>
        <v>97349000</v>
      </c>
      <c r="U191" s="69">
        <f t="shared" si="144"/>
        <v>68213000</v>
      </c>
      <c r="V191" s="69">
        <f t="shared" si="144"/>
        <v>506000</v>
      </c>
      <c r="W191" s="69">
        <f t="shared" si="144"/>
        <v>573000</v>
      </c>
      <c r="X191" s="69">
        <f t="shared" si="144"/>
        <v>26192354</v>
      </c>
      <c r="Y191" s="27"/>
      <c r="Z191" s="58"/>
      <c r="AA191" s="58"/>
      <c r="AB191" s="58"/>
    </row>
    <row r="192" spans="1:29" s="20" customFormat="1" ht="25.5" customHeight="1" x14ac:dyDescent="0.4">
      <c r="A192" s="173"/>
      <c r="B192" s="21" t="s">
        <v>42</v>
      </c>
      <c r="C192" s="60">
        <f>IFERROR(C186/C181,0)</f>
        <v>4.4251670670672354</v>
      </c>
      <c r="D192" s="61">
        <f>IFERROR(D187/D181,0)</f>
        <v>4.2844189423724011</v>
      </c>
      <c r="E192" s="60">
        <f t="shared" ref="E192:X192" si="145">IFERROR(E187/E181,0)</f>
        <v>2.1391285191165368</v>
      </c>
      <c r="F192" s="60">
        <f t="shared" si="145"/>
        <v>1.5402270706341741</v>
      </c>
      <c r="G192" s="63">
        <f t="shared" si="145"/>
        <v>0</v>
      </c>
      <c r="H192" s="62">
        <f t="shared" si="145"/>
        <v>0</v>
      </c>
      <c r="I192" s="60">
        <f t="shared" si="145"/>
        <v>1.8834631403470217</v>
      </c>
      <c r="J192" s="62">
        <f t="shared" si="145"/>
        <v>0</v>
      </c>
      <c r="K192" s="64">
        <f t="shared" si="145"/>
        <v>0</v>
      </c>
      <c r="L192" s="60">
        <f t="shared" si="145"/>
        <v>2.0822560566886912</v>
      </c>
      <c r="M192" s="60">
        <f t="shared" si="145"/>
        <v>1.8757353848685563</v>
      </c>
      <c r="N192" s="60">
        <f t="shared" si="145"/>
        <v>1.5146699266503667</v>
      </c>
      <c r="O192" s="62">
        <f t="shared" si="145"/>
        <v>0</v>
      </c>
      <c r="P192" s="63">
        <f t="shared" si="145"/>
        <v>0.70446323028978763</v>
      </c>
      <c r="Q192" s="64">
        <f t="shared" si="145"/>
        <v>0</v>
      </c>
      <c r="R192" s="62">
        <f t="shared" si="145"/>
        <v>0</v>
      </c>
      <c r="S192" s="64">
        <f t="shared" si="145"/>
        <v>2.5123747121217037</v>
      </c>
      <c r="T192" s="64">
        <f t="shared" si="145"/>
        <v>2.5991622176591376</v>
      </c>
      <c r="U192" s="62">
        <f t="shared" si="145"/>
        <v>0</v>
      </c>
      <c r="V192" s="62">
        <f t="shared" si="145"/>
        <v>0</v>
      </c>
      <c r="W192" s="62">
        <f t="shared" si="145"/>
        <v>0</v>
      </c>
      <c r="X192" s="62">
        <f t="shared" si="145"/>
        <v>0</v>
      </c>
      <c r="Y192" s="65"/>
      <c r="Z192" s="19"/>
      <c r="AA192" s="19"/>
      <c r="AB192" s="19"/>
    </row>
    <row r="193" spans="1:28" s="59" customFormat="1" ht="25.5" customHeight="1" x14ac:dyDescent="0.4">
      <c r="A193" s="173"/>
      <c r="B193" s="21" t="s">
        <v>43</v>
      </c>
      <c r="C193" s="66">
        <f>SUM(D193:X193)</f>
        <v>1158351325</v>
      </c>
      <c r="D193" s="67">
        <f>D187-D182</f>
        <v>98296000</v>
      </c>
      <c r="E193" s="66">
        <f t="shared" ref="E193:X193" si="146">E187-E182</f>
        <v>48151000</v>
      </c>
      <c r="F193" s="66">
        <f t="shared" si="146"/>
        <v>78288000</v>
      </c>
      <c r="G193" s="71">
        <f t="shared" si="146"/>
        <v>289721300</v>
      </c>
      <c r="H193" s="69">
        <f t="shared" si="146"/>
        <v>228940961</v>
      </c>
      <c r="I193" s="66">
        <f t="shared" si="146"/>
        <v>7854300</v>
      </c>
      <c r="J193" s="69">
        <f t="shared" si="146"/>
        <v>29525110</v>
      </c>
      <c r="K193" s="25">
        <f t="shared" si="146"/>
        <v>91006800</v>
      </c>
      <c r="L193" s="66">
        <f t="shared" si="146"/>
        <v>22506000</v>
      </c>
      <c r="M193" s="66">
        <f t="shared" si="146"/>
        <v>23390500</v>
      </c>
      <c r="N193" s="66">
        <f t="shared" si="146"/>
        <v>-2093000</v>
      </c>
      <c r="O193" s="69">
        <f t="shared" si="146"/>
        <v>793000</v>
      </c>
      <c r="P193" s="72">
        <f t="shared" si="146"/>
        <v>-2703000</v>
      </c>
      <c r="Q193" s="70">
        <f t="shared" si="146"/>
        <v>-6305000</v>
      </c>
      <c r="R193" s="69">
        <f t="shared" si="146"/>
        <v>15695000</v>
      </c>
      <c r="S193" s="70">
        <f t="shared" si="146"/>
        <v>34074000</v>
      </c>
      <c r="T193" s="70">
        <f t="shared" si="146"/>
        <v>105726000</v>
      </c>
      <c r="U193" s="69">
        <f t="shared" si="146"/>
        <v>68213000</v>
      </c>
      <c r="V193" s="69">
        <f t="shared" si="146"/>
        <v>506000</v>
      </c>
      <c r="W193" s="69">
        <f t="shared" si="146"/>
        <v>573000</v>
      </c>
      <c r="X193" s="69">
        <f t="shared" si="146"/>
        <v>26192354</v>
      </c>
      <c r="Y193" s="27"/>
      <c r="Z193" s="58"/>
      <c r="AA193" s="58"/>
      <c r="AB193" s="58"/>
    </row>
    <row r="194" spans="1:28" s="20" customFormat="1" ht="25.5" customHeight="1" x14ac:dyDescent="0.4">
      <c r="A194" s="173"/>
      <c r="B194" s="21" t="s">
        <v>44</v>
      </c>
      <c r="C194" s="60">
        <f>IFERROR(C186/C182,0)</f>
        <v>3.7767666974998351</v>
      </c>
      <c r="D194" s="61">
        <f>IFERROR(D187/D182,0)</f>
        <v>5.3367157857584049</v>
      </c>
      <c r="E194" s="60">
        <f t="shared" ref="E194:X194" si="147">IFERROR(E187/E182,0)</f>
        <v>2.5300117568555178</v>
      </c>
      <c r="F194" s="60">
        <f t="shared" si="147"/>
        <v>2.8988576002328457</v>
      </c>
      <c r="G194" s="73">
        <f t="shared" si="147"/>
        <v>4.7988762866321375</v>
      </c>
      <c r="H194" s="62">
        <f t="shared" si="147"/>
        <v>0</v>
      </c>
      <c r="I194" s="60">
        <f t="shared" si="147"/>
        <v>1.2878783436082013</v>
      </c>
      <c r="J194" s="62">
        <f t="shared" si="147"/>
        <v>0</v>
      </c>
      <c r="K194" s="62">
        <f t="shared" si="147"/>
        <v>0</v>
      </c>
      <c r="L194" s="60">
        <f t="shared" si="147"/>
        <v>2.0725314525352649</v>
      </c>
      <c r="M194" s="60">
        <f t="shared" si="147"/>
        <v>2.0534837634553891</v>
      </c>
      <c r="N194" s="60">
        <f t="shared" si="147"/>
        <v>0.6397590361445783</v>
      </c>
      <c r="O194" s="62">
        <f t="shared" si="147"/>
        <v>0</v>
      </c>
      <c r="P194" s="74">
        <f t="shared" si="147"/>
        <v>0.93569797316585779</v>
      </c>
      <c r="Q194" s="64">
        <f t="shared" si="147"/>
        <v>0.80503416926930327</v>
      </c>
      <c r="R194" s="62">
        <f t="shared" si="147"/>
        <v>0</v>
      </c>
      <c r="S194" s="64">
        <f t="shared" si="147"/>
        <v>1.7854771784232366</v>
      </c>
      <c r="T194" s="64">
        <f t="shared" si="147"/>
        <v>3.0139052916301572</v>
      </c>
      <c r="U194" s="62">
        <f t="shared" si="147"/>
        <v>0</v>
      </c>
      <c r="V194" s="62">
        <f t="shared" si="147"/>
        <v>0</v>
      </c>
      <c r="W194" s="62">
        <f t="shared" si="147"/>
        <v>0</v>
      </c>
      <c r="X194" s="62">
        <f t="shared" si="147"/>
        <v>0</v>
      </c>
      <c r="Y194" s="65"/>
      <c r="Z194" s="19"/>
      <c r="AA194" s="19"/>
      <c r="AB194" s="19"/>
    </row>
    <row r="195" spans="1:28" s="59" customFormat="1" ht="25.5" customHeight="1" x14ac:dyDescent="0.4">
      <c r="A195" s="173"/>
      <c r="B195" s="21" t="s">
        <v>45</v>
      </c>
      <c r="C195" s="66">
        <f>SUM(D195:X195)</f>
        <v>28906985</v>
      </c>
      <c r="D195" s="67">
        <f>D187-D183</f>
        <v>-4395000</v>
      </c>
      <c r="E195" s="66">
        <f t="shared" ref="E195:X195" si="148">E187-E183</f>
        <v>-43995000</v>
      </c>
      <c r="F195" s="66">
        <f t="shared" si="148"/>
        <v>-111613800</v>
      </c>
      <c r="G195" s="71">
        <f t="shared" si="148"/>
        <v>-206608000</v>
      </c>
      <c r="H195" s="69">
        <f t="shared" si="148"/>
        <v>228940961</v>
      </c>
      <c r="I195" s="66">
        <f t="shared" si="148"/>
        <v>35137700</v>
      </c>
      <c r="J195" s="69">
        <f t="shared" si="148"/>
        <v>29525110</v>
      </c>
      <c r="K195" s="25">
        <f t="shared" si="148"/>
        <v>91006800</v>
      </c>
      <c r="L195" s="66">
        <f t="shared" si="148"/>
        <v>-3264000</v>
      </c>
      <c r="M195" s="66">
        <f t="shared" si="148"/>
        <v>12522500</v>
      </c>
      <c r="N195" s="66">
        <f t="shared" si="148"/>
        <v>-6908220</v>
      </c>
      <c r="O195" s="69">
        <f t="shared" si="148"/>
        <v>793000</v>
      </c>
      <c r="P195" s="72">
        <f t="shared" si="148"/>
        <v>-35130000</v>
      </c>
      <c r="Q195" s="70">
        <f t="shared" si="148"/>
        <v>-125695000</v>
      </c>
      <c r="R195" s="69">
        <f t="shared" si="148"/>
        <v>15695000</v>
      </c>
      <c r="S195" s="70">
        <f t="shared" si="148"/>
        <v>14028000</v>
      </c>
      <c r="T195" s="70">
        <f t="shared" si="148"/>
        <v>43382580</v>
      </c>
      <c r="U195" s="69">
        <f t="shared" si="148"/>
        <v>68213000</v>
      </c>
      <c r="V195" s="69">
        <f t="shared" si="148"/>
        <v>506000</v>
      </c>
      <c r="W195" s="69">
        <f t="shared" si="148"/>
        <v>573000</v>
      </c>
      <c r="X195" s="69">
        <f t="shared" si="148"/>
        <v>26192354</v>
      </c>
      <c r="Y195" s="27"/>
      <c r="Z195" s="58"/>
      <c r="AA195" s="58"/>
      <c r="AB195" s="58"/>
    </row>
    <row r="196" spans="1:28" s="20" customFormat="1" ht="25.5" customHeight="1" x14ac:dyDescent="0.4">
      <c r="A196" s="173"/>
      <c r="B196" s="21" t="s">
        <v>46</v>
      </c>
      <c r="C196" s="60">
        <f>IFERROR(C186/C183,0)</f>
        <v>1.0204836268887962</v>
      </c>
      <c r="D196" s="61">
        <f>IFERROR(D187/D183,0)</f>
        <v>0.96494013098590425</v>
      </c>
      <c r="E196" s="60">
        <f t="shared" ref="E196:X196" si="149">IFERROR(E187/E183,0)</f>
        <v>0.64410234838250402</v>
      </c>
      <c r="F196" s="60">
        <f t="shared" si="149"/>
        <v>0.51709681271384</v>
      </c>
      <c r="G196" s="73">
        <f t="shared" si="149"/>
        <v>0.63917209794089813</v>
      </c>
      <c r="H196" s="62">
        <f t="shared" si="149"/>
        <v>0</v>
      </c>
      <c r="I196" s="60">
        <f t="shared" si="149"/>
        <v>0</v>
      </c>
      <c r="J196" s="62">
        <f t="shared" si="149"/>
        <v>0</v>
      </c>
      <c r="K196" s="62">
        <f t="shared" si="149"/>
        <v>0</v>
      </c>
      <c r="L196" s="60">
        <f t="shared" si="149"/>
        <v>0.93018779141891605</v>
      </c>
      <c r="M196" s="60">
        <f t="shared" si="149"/>
        <v>1.3786550149677965</v>
      </c>
      <c r="N196" s="60">
        <f t="shared" si="149"/>
        <v>0.3498280506191872</v>
      </c>
      <c r="O196" s="62">
        <f t="shared" si="149"/>
        <v>0</v>
      </c>
      <c r="P196" s="74">
        <f t="shared" si="149"/>
        <v>0.52822207002135291</v>
      </c>
      <c r="Q196" s="64">
        <f t="shared" si="149"/>
        <v>0.17158222884221211</v>
      </c>
      <c r="R196" s="62">
        <f t="shared" si="149"/>
        <v>0</v>
      </c>
      <c r="S196" s="64">
        <f t="shared" si="149"/>
        <v>1.2211711285592659</v>
      </c>
      <c r="T196" s="64">
        <f t="shared" si="149"/>
        <v>1.3777607417254158</v>
      </c>
      <c r="U196" s="62">
        <f t="shared" si="149"/>
        <v>0</v>
      </c>
      <c r="V196" s="62">
        <f t="shared" si="149"/>
        <v>0</v>
      </c>
      <c r="W196" s="62">
        <f t="shared" si="149"/>
        <v>0</v>
      </c>
      <c r="X196" s="62">
        <f t="shared" si="149"/>
        <v>0</v>
      </c>
      <c r="Y196" s="65"/>
      <c r="Z196" s="19"/>
      <c r="AA196" s="19"/>
      <c r="AB196" s="19"/>
    </row>
    <row r="197" spans="1:28" s="59" customFormat="1" ht="25.5" customHeight="1" x14ac:dyDescent="0.4">
      <c r="A197" s="173"/>
      <c r="B197" s="21" t="s">
        <v>47</v>
      </c>
      <c r="C197" s="66">
        <f>SUM(D197:X197)</f>
        <v>-8492045</v>
      </c>
      <c r="D197" s="67">
        <f>D187-D184</f>
        <v>-514000</v>
      </c>
      <c r="E197" s="66">
        <f t="shared" ref="E197:X197" si="150">E187-E184</f>
        <v>-50117000</v>
      </c>
      <c r="F197" s="66">
        <f t="shared" si="150"/>
        <v>-114808700</v>
      </c>
      <c r="G197" s="71">
        <f t="shared" si="150"/>
        <v>-124190720</v>
      </c>
      <c r="H197" s="69">
        <f t="shared" si="150"/>
        <v>-4284889</v>
      </c>
      <c r="I197" s="69">
        <f t="shared" si="150"/>
        <v>35137700</v>
      </c>
      <c r="J197" s="69">
        <f t="shared" si="150"/>
        <v>29525110</v>
      </c>
      <c r="K197" s="25">
        <f t="shared" si="150"/>
        <v>91006800</v>
      </c>
      <c r="L197" s="66">
        <f t="shared" si="150"/>
        <v>7672000</v>
      </c>
      <c r="M197" s="66">
        <f t="shared" si="150"/>
        <v>21154000</v>
      </c>
      <c r="N197" s="66">
        <f t="shared" si="150"/>
        <v>-5693000</v>
      </c>
      <c r="O197" s="69">
        <f t="shared" si="150"/>
        <v>793000</v>
      </c>
      <c r="P197" s="72">
        <f t="shared" si="150"/>
        <v>-26181000</v>
      </c>
      <c r="Q197" s="66">
        <f t="shared" si="150"/>
        <v>-7819400</v>
      </c>
      <c r="R197" s="69">
        <f t="shared" si="150"/>
        <v>15695000</v>
      </c>
      <c r="S197" s="70">
        <f t="shared" si="150"/>
        <v>15741000</v>
      </c>
      <c r="T197" s="66">
        <f t="shared" si="150"/>
        <v>22407000</v>
      </c>
      <c r="U197" s="69">
        <f t="shared" si="150"/>
        <v>68213000</v>
      </c>
      <c r="V197" s="69">
        <f t="shared" si="150"/>
        <v>506000</v>
      </c>
      <c r="W197" s="69">
        <f t="shared" si="150"/>
        <v>573000</v>
      </c>
      <c r="X197" s="69">
        <f t="shared" si="150"/>
        <v>16693054</v>
      </c>
      <c r="Y197" s="27"/>
      <c r="Z197" s="58"/>
      <c r="AA197" s="58"/>
      <c r="AB197" s="58"/>
    </row>
    <row r="198" spans="1:28" s="20" customFormat="1" ht="25.5" customHeight="1" x14ac:dyDescent="0.4">
      <c r="A198" s="173"/>
      <c r="B198" s="21" t="s">
        <v>48</v>
      </c>
      <c r="C198" s="60">
        <f>IFERROR(C186/C184,0)</f>
        <v>0.99640481888615595</v>
      </c>
      <c r="D198" s="61">
        <f>IFERROR(D187/D184,0)</f>
        <v>0.99576871151503177</v>
      </c>
      <c r="E198" s="60">
        <f t="shared" ref="E198:X198" si="151">IFERROR(E187/E184,0)</f>
        <v>0.61370906203994169</v>
      </c>
      <c r="F198" s="60">
        <f t="shared" si="151"/>
        <v>0.51004648657829676</v>
      </c>
      <c r="G198" s="73">
        <f t="shared" si="151"/>
        <v>0.74664108080790892</v>
      </c>
      <c r="H198" s="62">
        <f t="shared" si="151"/>
        <v>0.98162772694364708</v>
      </c>
      <c r="I198" s="62">
        <f t="shared" si="151"/>
        <v>0</v>
      </c>
      <c r="J198" s="62">
        <f t="shared" si="151"/>
        <v>0</v>
      </c>
      <c r="K198" s="62">
        <f t="shared" si="151"/>
        <v>0</v>
      </c>
      <c r="L198" s="60">
        <f t="shared" si="151"/>
        <v>1.214193980680105</v>
      </c>
      <c r="M198" s="60">
        <f t="shared" si="151"/>
        <v>1.8655659894842367</v>
      </c>
      <c r="N198" s="60">
        <f t="shared" si="151"/>
        <v>0.39500531349628054</v>
      </c>
      <c r="O198" s="62">
        <f t="shared" si="151"/>
        <v>0</v>
      </c>
      <c r="P198" s="74">
        <f t="shared" si="151"/>
        <v>0.60037549226119613</v>
      </c>
      <c r="Q198" s="60">
        <f t="shared" si="151"/>
        <v>0.76902172307655947</v>
      </c>
      <c r="R198" s="62">
        <f t="shared" si="151"/>
        <v>0</v>
      </c>
      <c r="S198" s="64">
        <f t="shared" si="151"/>
        <v>1.2550678139127898</v>
      </c>
      <c r="T198" s="60">
        <f t="shared" si="151"/>
        <v>1.1649793472098486</v>
      </c>
      <c r="U198" s="62">
        <f t="shared" si="151"/>
        <v>0</v>
      </c>
      <c r="V198" s="62">
        <f t="shared" si="151"/>
        <v>0</v>
      </c>
      <c r="W198" s="62">
        <f t="shared" si="151"/>
        <v>0</v>
      </c>
      <c r="X198" s="62">
        <f t="shared" si="151"/>
        <v>2.7572930636994304</v>
      </c>
      <c r="Y198" s="65"/>
      <c r="Z198" s="19"/>
      <c r="AA198" s="19"/>
      <c r="AB198" s="19"/>
    </row>
    <row r="199" spans="1:28" s="20" customFormat="1" ht="25.5" customHeight="1" x14ac:dyDescent="0.4">
      <c r="A199" s="173"/>
      <c r="B199" s="21" t="s">
        <v>49</v>
      </c>
      <c r="C199" s="66">
        <f>SUM(D199:X199)</f>
        <v>220566915</v>
      </c>
      <c r="D199" s="67">
        <f>D187-D185</f>
        <v>15213000</v>
      </c>
      <c r="E199" s="66">
        <f t="shared" ref="E199:X199" si="152">E187-E185</f>
        <v>-32161000</v>
      </c>
      <c r="F199" s="66">
        <f t="shared" si="152"/>
        <v>-65902100</v>
      </c>
      <c r="G199" s="71">
        <f t="shared" si="152"/>
        <v>-57952720</v>
      </c>
      <c r="H199" s="66">
        <f t="shared" si="152"/>
        <v>30862661</v>
      </c>
      <c r="I199" s="69">
        <f t="shared" si="152"/>
        <v>35137700</v>
      </c>
      <c r="J199" s="69">
        <f t="shared" si="152"/>
        <v>29525110</v>
      </c>
      <c r="K199" s="25">
        <f t="shared" si="152"/>
        <v>91006800</v>
      </c>
      <c r="L199" s="66">
        <f t="shared" si="152"/>
        <v>14112000</v>
      </c>
      <c r="M199" s="66">
        <f t="shared" si="152"/>
        <v>20773000</v>
      </c>
      <c r="N199" s="66">
        <f t="shared" si="152"/>
        <v>-3814000</v>
      </c>
      <c r="O199" s="69">
        <f t="shared" si="152"/>
        <v>-7382000</v>
      </c>
      <c r="P199" s="71">
        <f t="shared" si="152"/>
        <v>-19100000</v>
      </c>
      <c r="Q199" s="69">
        <f t="shared" si="152"/>
        <v>26034000</v>
      </c>
      <c r="R199" s="69">
        <f t="shared" si="152"/>
        <v>15695000</v>
      </c>
      <c r="S199" s="70">
        <f t="shared" si="152"/>
        <v>20370000</v>
      </c>
      <c r="T199" s="66">
        <f t="shared" si="152"/>
        <v>46783000</v>
      </c>
      <c r="U199" s="69">
        <f t="shared" si="152"/>
        <v>68213000</v>
      </c>
      <c r="V199" s="69">
        <f t="shared" si="152"/>
        <v>506000</v>
      </c>
      <c r="W199" s="69">
        <f t="shared" si="152"/>
        <v>573000</v>
      </c>
      <c r="X199" s="66">
        <f t="shared" si="152"/>
        <v>-7925536</v>
      </c>
      <c r="Y199" s="27"/>
      <c r="Z199" s="19"/>
      <c r="AA199" s="19"/>
      <c r="AB199" s="19"/>
    </row>
    <row r="200" spans="1:28" s="20" customFormat="1" ht="25.5" customHeight="1" x14ac:dyDescent="0.4">
      <c r="A200" s="173"/>
      <c r="B200" s="21" t="s">
        <v>50</v>
      </c>
      <c r="C200" s="60">
        <f>IFERROR(C186/C185,0)</f>
        <v>1.1647264029089712</v>
      </c>
      <c r="D200" s="61">
        <f>IFERROR(D187/D185,0)</f>
        <v>1.1438595164020464</v>
      </c>
      <c r="E200" s="60">
        <f t="shared" ref="E200:X200" si="153">IFERROR(E187/E185,0)</f>
        <v>0.71229077766744497</v>
      </c>
      <c r="F200" s="60">
        <f t="shared" si="153"/>
        <v>0.64457760823992782</v>
      </c>
      <c r="G200" s="73">
        <f t="shared" si="153"/>
        <v>0.86329939621976759</v>
      </c>
      <c r="H200" s="60">
        <f t="shared" si="153"/>
        <v>1.1558104093179313</v>
      </c>
      <c r="I200" s="62">
        <f t="shared" si="153"/>
        <v>0</v>
      </c>
      <c r="J200" s="62">
        <f t="shared" si="153"/>
        <v>0</v>
      </c>
      <c r="K200" s="62">
        <f t="shared" si="153"/>
        <v>0</v>
      </c>
      <c r="L200" s="60">
        <f t="shared" si="153"/>
        <v>1.4803594526516441</v>
      </c>
      <c r="M200" s="60">
        <f t="shared" si="153"/>
        <v>1.8369291513063799</v>
      </c>
      <c r="N200" s="60">
        <f t="shared" si="153"/>
        <v>0.49355995219758331</v>
      </c>
      <c r="O200" s="62">
        <f t="shared" si="153"/>
        <v>9.700305810397554E-2</v>
      </c>
      <c r="P200" s="73">
        <f t="shared" si="153"/>
        <v>0.67312990946896445</v>
      </c>
      <c r="Q200" s="62">
        <f t="shared" si="153"/>
        <v>0</v>
      </c>
      <c r="R200" s="62">
        <f t="shared" si="153"/>
        <v>0</v>
      </c>
      <c r="S200" s="64">
        <f t="shared" si="153"/>
        <v>1.3568425478242589</v>
      </c>
      <c r="T200" s="60">
        <f t="shared" si="153"/>
        <v>1.4198006119830224</v>
      </c>
      <c r="U200" s="62">
        <f t="shared" si="153"/>
        <v>0</v>
      </c>
      <c r="V200" s="62">
        <f t="shared" si="153"/>
        <v>0</v>
      </c>
      <c r="W200" s="62">
        <f t="shared" si="153"/>
        <v>0</v>
      </c>
      <c r="X200" s="60">
        <f t="shared" si="153"/>
        <v>0.76770146102235515</v>
      </c>
      <c r="Y200" s="65"/>
      <c r="Z200" s="19"/>
      <c r="AA200" s="19"/>
      <c r="AB200" s="19"/>
    </row>
    <row r="201" spans="1:28" s="20" customFormat="1" ht="25.5" customHeight="1" x14ac:dyDescent="0.4">
      <c r="A201" s="173"/>
      <c r="B201" s="21" t="s">
        <v>51</v>
      </c>
      <c r="C201" s="66">
        <f>SUM(D201:X201)</f>
        <v>-2793655</v>
      </c>
      <c r="D201" s="67">
        <f>D187-D186</f>
        <v>26116000</v>
      </c>
      <c r="E201" s="66">
        <f t="shared" ref="E201:X201" si="154">E187-E186</f>
        <v>-3577000</v>
      </c>
      <c r="F201" s="66">
        <f t="shared" si="154"/>
        <v>-22766600</v>
      </c>
      <c r="G201" s="71">
        <f t="shared" si="154"/>
        <v>-38929400</v>
      </c>
      <c r="H201" s="66">
        <f t="shared" si="154"/>
        <v>1545661</v>
      </c>
      <c r="I201" s="69">
        <f t="shared" si="154"/>
        <v>35137700</v>
      </c>
      <c r="J201" s="69">
        <f t="shared" si="154"/>
        <v>29525110</v>
      </c>
      <c r="K201" s="22">
        <f t="shared" si="154"/>
        <v>-53983700</v>
      </c>
      <c r="L201" s="66">
        <f t="shared" si="154"/>
        <v>-35974000</v>
      </c>
      <c r="M201" s="66">
        <f t="shared" si="154"/>
        <v>24980000</v>
      </c>
      <c r="N201" s="66">
        <f t="shared" si="154"/>
        <v>-912000</v>
      </c>
      <c r="O201" s="69">
        <f t="shared" si="154"/>
        <v>-403000</v>
      </c>
      <c r="P201" s="71">
        <f t="shared" si="154"/>
        <v>-12333000</v>
      </c>
      <c r="Q201" s="69">
        <f t="shared" si="154"/>
        <v>26034000</v>
      </c>
      <c r="R201" s="66">
        <f t="shared" si="154"/>
        <v>15695000</v>
      </c>
      <c r="S201" s="66">
        <f t="shared" si="154"/>
        <v>20722000</v>
      </c>
      <c r="T201" s="66">
        <f t="shared" si="154"/>
        <v>-25532000</v>
      </c>
      <c r="U201" s="66">
        <f t="shared" si="154"/>
        <v>9228000</v>
      </c>
      <c r="V201" s="69">
        <f t="shared" si="154"/>
        <v>506000</v>
      </c>
      <c r="W201" s="66">
        <f t="shared" si="154"/>
        <v>-51000</v>
      </c>
      <c r="X201" s="66">
        <f t="shared" si="154"/>
        <v>2178574</v>
      </c>
      <c r="Y201" s="27"/>
      <c r="Z201" s="19"/>
      <c r="AA201" s="19"/>
      <c r="AB201" s="19"/>
    </row>
    <row r="202" spans="1:28" s="20" customFormat="1" ht="25.5" customHeight="1" x14ac:dyDescent="0.4">
      <c r="A202" s="173"/>
      <c r="B202" s="21" t="s">
        <v>52</v>
      </c>
      <c r="C202" s="60">
        <f>IFERROR(C188/C187,0)</f>
        <v>1.1775968806146859</v>
      </c>
      <c r="D202" s="61">
        <f>IFERROR(D187/D186,0)</f>
        <v>1.2753516226303692</v>
      </c>
      <c r="E202" s="60">
        <f t="shared" ref="E202:X202" si="155">IFERROR(E187/E186,0)</f>
        <v>0.95700669479200473</v>
      </c>
      <c r="F202" s="60">
        <f t="shared" si="155"/>
        <v>0.8399913974625326</v>
      </c>
      <c r="G202" s="73">
        <f t="shared" si="155"/>
        <v>0.90385801291478696</v>
      </c>
      <c r="H202" s="60">
        <f t="shared" si="155"/>
        <v>1.0067972425111689</v>
      </c>
      <c r="I202" s="62">
        <f t="shared" si="155"/>
        <v>0</v>
      </c>
      <c r="J202" s="62">
        <f t="shared" si="155"/>
        <v>0</v>
      </c>
      <c r="K202" s="60">
        <f t="shared" si="155"/>
        <v>0.62767422693210939</v>
      </c>
      <c r="L202" s="60">
        <f t="shared" si="155"/>
        <v>0.54729185543139036</v>
      </c>
      <c r="M202" s="60">
        <f t="shared" si="155"/>
        <v>2.2118272006209523</v>
      </c>
      <c r="N202" s="60">
        <f t="shared" si="155"/>
        <v>0.80298120544394036</v>
      </c>
      <c r="O202" s="62">
        <f t="shared" si="155"/>
        <v>0.66304347826086951</v>
      </c>
      <c r="P202" s="73">
        <f t="shared" si="155"/>
        <v>0.76129369411218206</v>
      </c>
      <c r="Q202" s="62">
        <f t="shared" si="155"/>
        <v>0</v>
      </c>
      <c r="R202" s="60">
        <f t="shared" si="155"/>
        <v>0</v>
      </c>
      <c r="S202" s="60">
        <f t="shared" si="155"/>
        <v>1.3652612282309808</v>
      </c>
      <c r="T202" s="60">
        <f t="shared" si="155"/>
        <v>0.86105487711965867</v>
      </c>
      <c r="U202" s="60">
        <f t="shared" si="155"/>
        <v>1.156446554208697</v>
      </c>
      <c r="V202" s="62">
        <f t="shared" si="155"/>
        <v>0</v>
      </c>
      <c r="W202" s="60">
        <f t="shared" si="155"/>
        <v>0.91826923076923073</v>
      </c>
      <c r="X202" s="60">
        <f t="shared" si="155"/>
        <v>1.0907218272175392</v>
      </c>
      <c r="Y202" s="65"/>
      <c r="Z202" s="19"/>
      <c r="AA202" s="19"/>
      <c r="AB202" s="19"/>
    </row>
    <row r="203" spans="1:28" s="82" customFormat="1" ht="25.5" customHeight="1" x14ac:dyDescent="0.4">
      <c r="A203" s="173"/>
      <c r="B203" s="75" t="s">
        <v>53</v>
      </c>
      <c r="C203" s="76">
        <f>SUM(D203:X203)</f>
        <v>-279984275</v>
      </c>
      <c r="D203" s="77">
        <f>D187-D188</f>
        <v>24162000</v>
      </c>
      <c r="E203" s="76">
        <f t="shared" ref="E203:X203" si="156">E187-E188</f>
        <v>-5278000</v>
      </c>
      <c r="F203" s="76">
        <f t="shared" si="156"/>
        <v>-25683000</v>
      </c>
      <c r="G203" s="78">
        <f t="shared" si="156"/>
        <v>-55213700</v>
      </c>
      <c r="H203" s="76">
        <f t="shared" si="156"/>
        <v>-9859039</v>
      </c>
      <c r="I203" s="76">
        <f t="shared" si="156"/>
        <v>-20362300</v>
      </c>
      <c r="J203" s="76">
        <f t="shared" si="156"/>
        <v>-9374890</v>
      </c>
      <c r="K203" s="76">
        <f t="shared" si="156"/>
        <v>-56893200</v>
      </c>
      <c r="L203" s="76">
        <f t="shared" si="156"/>
        <v>-12210000</v>
      </c>
      <c r="M203" s="76">
        <f t="shared" si="156"/>
        <v>-6006500</v>
      </c>
      <c r="N203" s="76">
        <f t="shared" si="156"/>
        <v>-1083000</v>
      </c>
      <c r="O203" s="76">
        <f t="shared" si="156"/>
        <v>-507000</v>
      </c>
      <c r="P203" s="78">
        <f t="shared" si="156"/>
        <v>-13367000</v>
      </c>
      <c r="Q203" s="76">
        <f t="shared" si="156"/>
        <v>-18266000</v>
      </c>
      <c r="R203" s="76">
        <f t="shared" si="156"/>
        <v>-24305000</v>
      </c>
      <c r="S203" s="76">
        <f t="shared" si="156"/>
        <v>3654000</v>
      </c>
      <c r="T203" s="76">
        <f t="shared" si="156"/>
        <v>-29276000</v>
      </c>
      <c r="U203" s="76">
        <f t="shared" si="156"/>
        <v>-20287000</v>
      </c>
      <c r="V203" s="76">
        <f t="shared" si="156"/>
        <v>-494000</v>
      </c>
      <c r="W203" s="76">
        <f t="shared" si="156"/>
        <v>-227000</v>
      </c>
      <c r="X203" s="76">
        <f t="shared" si="156"/>
        <v>892354</v>
      </c>
      <c r="Y203" s="80"/>
      <c r="Z203" s="81"/>
      <c r="AA203" s="81"/>
      <c r="AB203" s="81"/>
    </row>
    <row r="204" spans="1:28" s="44" customFormat="1" ht="25.5" customHeight="1" thickBot="1" x14ac:dyDescent="0.45">
      <c r="A204" s="174"/>
      <c r="B204" s="83" t="s">
        <v>54</v>
      </c>
      <c r="C204" s="84">
        <f>IFERROR(C186/C188,0)</f>
        <v>0.85069182870993809</v>
      </c>
      <c r="D204" s="85">
        <f>IFERROR(D187/D188,0)</f>
        <v>1.249607438016529</v>
      </c>
      <c r="E204" s="84">
        <f t="shared" ref="E204:X204" si="157">IFERROR(E187/E188,0)</f>
        <v>0.93783274440518261</v>
      </c>
      <c r="F204" s="84">
        <f t="shared" si="157"/>
        <v>0.82311983471074379</v>
      </c>
      <c r="G204" s="86">
        <f t="shared" si="157"/>
        <v>0.86891334283000954</v>
      </c>
      <c r="H204" s="84">
        <f t="shared" si="157"/>
        <v>0.95871424204355105</v>
      </c>
      <c r="I204" s="84">
        <f t="shared" si="157"/>
        <v>0.63311171171171177</v>
      </c>
      <c r="J204" s="84">
        <f t="shared" si="157"/>
        <v>0.75900025706940877</v>
      </c>
      <c r="K204" s="84">
        <f t="shared" si="157"/>
        <v>0.61532657200811358</v>
      </c>
      <c r="L204" s="84">
        <f t="shared" si="157"/>
        <v>0.78078994614003594</v>
      </c>
      <c r="M204" s="84">
        <f t="shared" si="157"/>
        <v>0.88359496124031012</v>
      </c>
      <c r="N204" s="84">
        <f t="shared" si="157"/>
        <v>0.77437500000000004</v>
      </c>
      <c r="O204" s="84">
        <f t="shared" si="157"/>
        <v>0.61</v>
      </c>
      <c r="P204" s="86">
        <f t="shared" si="157"/>
        <v>0.74635673624288423</v>
      </c>
      <c r="Q204" s="84">
        <f t="shared" si="157"/>
        <v>0.58767494356659145</v>
      </c>
      <c r="R204" s="84">
        <f t="shared" si="157"/>
        <v>0.39237499999999997</v>
      </c>
      <c r="S204" s="84">
        <f t="shared" si="157"/>
        <v>1.0495121951219513</v>
      </c>
      <c r="T204" s="84">
        <f t="shared" si="157"/>
        <v>0.84386133333333335</v>
      </c>
      <c r="U204" s="84">
        <f t="shared" si="157"/>
        <v>0.77076836158192086</v>
      </c>
      <c r="V204" s="84">
        <f t="shared" si="157"/>
        <v>0.50600000000000001</v>
      </c>
      <c r="W204" s="84">
        <f t="shared" si="157"/>
        <v>0.71625000000000005</v>
      </c>
      <c r="X204" s="84">
        <f t="shared" si="157"/>
        <v>1.0352709090909091</v>
      </c>
      <c r="Y204" s="88"/>
      <c r="Z204" s="43"/>
      <c r="AA204" s="43"/>
      <c r="AB204" s="43"/>
    </row>
    <row r="205" spans="1:28" s="20" customFormat="1" ht="25.5" customHeight="1" thickTop="1" x14ac:dyDescent="0.4">
      <c r="A205" s="172" t="s">
        <v>64</v>
      </c>
      <c r="B205" s="89" t="s">
        <v>29</v>
      </c>
      <c r="C205" s="90">
        <f t="shared" ref="C205:C211" si="158">SUM(D205:X205)</f>
        <v>210507900</v>
      </c>
      <c r="D205" s="91">
        <v>11785800</v>
      </c>
      <c r="E205" s="90">
        <v>34258500</v>
      </c>
      <c r="F205" s="92">
        <v>0</v>
      </c>
      <c r="G205" s="93">
        <v>0</v>
      </c>
      <c r="H205" s="92">
        <v>0</v>
      </c>
      <c r="I205" s="90">
        <v>13784100</v>
      </c>
      <c r="J205" s="92">
        <v>0</v>
      </c>
      <c r="K205" s="94">
        <v>26021000</v>
      </c>
      <c r="L205" s="90">
        <v>9951000</v>
      </c>
      <c r="M205" s="90">
        <v>16729500</v>
      </c>
      <c r="N205" s="90">
        <v>1408000</v>
      </c>
      <c r="O205" s="92"/>
      <c r="P205" s="93">
        <v>0</v>
      </c>
      <c r="Q205" s="94">
        <v>35497000</v>
      </c>
      <c r="R205" s="92"/>
      <c r="S205" s="94">
        <v>26477000</v>
      </c>
      <c r="T205" s="94">
        <v>34596000</v>
      </c>
      <c r="U205" s="92"/>
      <c r="V205" s="92"/>
      <c r="W205" s="92"/>
      <c r="X205" s="92"/>
      <c r="Y205" s="95"/>
      <c r="Z205" s="19"/>
      <c r="AA205" s="19"/>
      <c r="AB205" s="19"/>
    </row>
    <row r="206" spans="1:28" s="20" customFormat="1" ht="25.5" customHeight="1" x14ac:dyDescent="0.4">
      <c r="A206" s="173"/>
      <c r="B206" s="21" t="s">
        <v>30</v>
      </c>
      <c r="C206" s="22">
        <f t="shared" si="158"/>
        <v>46726500</v>
      </c>
      <c r="D206" s="23">
        <v>1788000</v>
      </c>
      <c r="E206" s="22">
        <v>1329000</v>
      </c>
      <c r="F206" s="22">
        <v>522000</v>
      </c>
      <c r="G206" s="24">
        <v>0</v>
      </c>
      <c r="H206" s="25">
        <v>0</v>
      </c>
      <c r="I206" s="22">
        <v>2122000</v>
      </c>
      <c r="J206" s="25">
        <v>0</v>
      </c>
      <c r="K206" s="25">
        <v>0</v>
      </c>
      <c r="L206" s="22">
        <v>3442000</v>
      </c>
      <c r="M206" s="22">
        <v>12453500</v>
      </c>
      <c r="N206" s="22">
        <v>194000</v>
      </c>
      <c r="O206" s="25"/>
      <c r="P206" s="29">
        <v>4448000</v>
      </c>
      <c r="Q206" s="26">
        <v>0</v>
      </c>
      <c r="R206" s="25"/>
      <c r="S206" s="26">
        <v>17866000</v>
      </c>
      <c r="T206" s="26">
        <v>2562000</v>
      </c>
      <c r="U206" s="25"/>
      <c r="V206" s="25"/>
      <c r="W206" s="25"/>
      <c r="X206" s="25"/>
      <c r="Y206" s="27"/>
    </row>
    <row r="207" spans="1:28" s="20" customFormat="1" ht="25.5" customHeight="1" x14ac:dyDescent="0.4">
      <c r="A207" s="173"/>
      <c r="B207" s="21" t="s">
        <v>31</v>
      </c>
      <c r="C207" s="22">
        <f t="shared" si="158"/>
        <v>138862000</v>
      </c>
      <c r="D207" s="23">
        <v>4955000</v>
      </c>
      <c r="E207" s="22">
        <v>13095000</v>
      </c>
      <c r="F207" s="22">
        <v>0</v>
      </c>
      <c r="G207" s="28">
        <v>8628000</v>
      </c>
      <c r="H207" s="25">
        <v>0</v>
      </c>
      <c r="I207" s="22">
        <v>3381000</v>
      </c>
      <c r="J207" s="25">
        <v>0</v>
      </c>
      <c r="K207" s="25">
        <v>0</v>
      </c>
      <c r="L207" s="22">
        <v>8765000</v>
      </c>
      <c r="M207" s="22">
        <v>15097000</v>
      </c>
      <c r="N207" s="22">
        <v>0</v>
      </c>
      <c r="O207" s="25"/>
      <c r="P207" s="29">
        <v>9433000</v>
      </c>
      <c r="Q207" s="26">
        <v>7774000</v>
      </c>
      <c r="R207" s="25"/>
      <c r="S207" s="26">
        <v>42777000</v>
      </c>
      <c r="T207" s="26">
        <v>24957000</v>
      </c>
      <c r="U207" s="25"/>
      <c r="V207" s="25"/>
      <c r="W207" s="25"/>
      <c r="X207" s="25"/>
      <c r="Y207" s="27"/>
      <c r="Z207" s="19">
        <f>IFERROR(#REF!/#REF!-1,0)</f>
        <v>0</v>
      </c>
      <c r="AA207" s="19">
        <f>IFERROR(C207/C206-1,0)</f>
        <v>1.9718040084320458</v>
      </c>
      <c r="AB207" s="19">
        <f>IFERROR(#REF!/#REF!-1,0)</f>
        <v>0</v>
      </c>
    </row>
    <row r="208" spans="1:28" s="20" customFormat="1" ht="25.5" customHeight="1" x14ac:dyDescent="0.4">
      <c r="A208" s="173"/>
      <c r="B208" s="96" t="s">
        <v>56</v>
      </c>
      <c r="C208" s="22">
        <f t="shared" si="158"/>
        <v>232163000</v>
      </c>
      <c r="D208" s="97">
        <v>21994000</v>
      </c>
      <c r="E208" s="98">
        <v>24262000</v>
      </c>
      <c r="F208" s="98">
        <v>0</v>
      </c>
      <c r="G208" s="99">
        <v>25491000</v>
      </c>
      <c r="H208" s="100">
        <v>0</v>
      </c>
      <c r="I208" s="100">
        <v>0</v>
      </c>
      <c r="J208" s="100">
        <v>0</v>
      </c>
      <c r="K208" s="100">
        <v>0</v>
      </c>
      <c r="L208" s="98">
        <v>14124000</v>
      </c>
      <c r="M208" s="98">
        <v>13785000</v>
      </c>
      <c r="N208" s="98">
        <v>2065000</v>
      </c>
      <c r="O208" s="100"/>
      <c r="P208" s="101">
        <v>15655000</v>
      </c>
      <c r="Q208" s="102">
        <v>21919000</v>
      </c>
      <c r="R208" s="100"/>
      <c r="S208" s="102">
        <v>48234000</v>
      </c>
      <c r="T208" s="102">
        <v>44634000</v>
      </c>
      <c r="U208" s="100"/>
      <c r="V208" s="100"/>
      <c r="W208" s="100"/>
      <c r="X208" s="100"/>
      <c r="Y208" s="103"/>
      <c r="Z208" s="19"/>
      <c r="AA208" s="19"/>
      <c r="AB208" s="19"/>
    </row>
    <row r="209" spans="1:29" s="44" customFormat="1" ht="25.5" customHeight="1" x14ac:dyDescent="0.4">
      <c r="A209" s="173"/>
      <c r="B209" s="21" t="s">
        <v>33</v>
      </c>
      <c r="C209" s="22">
        <f t="shared" si="158"/>
        <v>287222200</v>
      </c>
      <c r="D209" s="23">
        <v>19658000</v>
      </c>
      <c r="E209" s="22">
        <v>23448000</v>
      </c>
      <c r="F209" s="22">
        <v>0</v>
      </c>
      <c r="G209" s="28">
        <v>49341900</v>
      </c>
      <c r="H209" s="22">
        <v>51837700</v>
      </c>
      <c r="I209" s="25">
        <v>0</v>
      </c>
      <c r="J209" s="25">
        <v>0</v>
      </c>
      <c r="K209" s="25">
        <v>0</v>
      </c>
      <c r="L209" s="22">
        <v>10489000</v>
      </c>
      <c r="M209" s="22">
        <v>11774000</v>
      </c>
      <c r="N209" s="22">
        <v>1949000</v>
      </c>
      <c r="O209" s="25"/>
      <c r="P209" s="28">
        <v>17838000</v>
      </c>
      <c r="Q209" s="22">
        <v>1424700</v>
      </c>
      <c r="R209" s="25"/>
      <c r="S209" s="26">
        <v>44745000</v>
      </c>
      <c r="T209" s="22">
        <v>50385000</v>
      </c>
      <c r="U209" s="25"/>
      <c r="V209" s="25"/>
      <c r="W209" s="25"/>
      <c r="X209" s="22">
        <v>4331900</v>
      </c>
      <c r="Y209" s="27"/>
      <c r="Z209" s="43"/>
      <c r="AA209" s="43"/>
      <c r="AB209" s="43"/>
      <c r="AC209" s="20"/>
    </row>
    <row r="210" spans="1:29" s="20" customFormat="1" ht="25.5" customHeight="1" x14ac:dyDescent="0.4">
      <c r="A210" s="173"/>
      <c r="B210" s="30" t="s">
        <v>34</v>
      </c>
      <c r="C210" s="22">
        <f t="shared" si="158"/>
        <v>343579729</v>
      </c>
      <c r="D210" s="32">
        <v>27814000</v>
      </c>
      <c r="E210" s="31">
        <v>24238000</v>
      </c>
      <c r="F210" s="31">
        <v>11667000</v>
      </c>
      <c r="G210" s="33">
        <v>69457800</v>
      </c>
      <c r="H210" s="31">
        <v>62337000</v>
      </c>
      <c r="I210" s="34">
        <v>0</v>
      </c>
      <c r="J210" s="34">
        <v>0</v>
      </c>
      <c r="K210" s="34"/>
      <c r="L210" s="31">
        <v>11598000</v>
      </c>
      <c r="M210" s="31">
        <v>11311019</v>
      </c>
      <c r="N210" s="31">
        <v>1755000</v>
      </c>
      <c r="O210" s="31">
        <v>4281000</v>
      </c>
      <c r="P210" s="33">
        <v>14904000</v>
      </c>
      <c r="Q210" s="34">
        <v>0</v>
      </c>
      <c r="R210" s="34"/>
      <c r="S210" s="35">
        <v>51103000</v>
      </c>
      <c r="T210" s="31">
        <v>48008000</v>
      </c>
      <c r="U210" s="34"/>
      <c r="V210" s="34"/>
      <c r="W210" s="34"/>
      <c r="X210" s="31">
        <v>5105910</v>
      </c>
      <c r="Y210" s="36"/>
      <c r="Z210" s="19"/>
      <c r="AA210" s="19"/>
      <c r="AB210" s="19"/>
    </row>
    <row r="211" spans="1:29" s="20" customFormat="1" ht="25.5" customHeight="1" x14ac:dyDescent="0.4">
      <c r="A211" s="173"/>
      <c r="B211" s="30" t="s">
        <v>57</v>
      </c>
      <c r="C211" s="31">
        <f t="shared" si="158"/>
        <v>335413650</v>
      </c>
      <c r="D211" s="32">
        <v>12255000</v>
      </c>
      <c r="E211" s="31">
        <v>11856000</v>
      </c>
      <c r="F211" s="31">
        <v>3315000</v>
      </c>
      <c r="G211" s="33">
        <v>48146500</v>
      </c>
      <c r="H211" s="31">
        <v>51064300</v>
      </c>
      <c r="I211" s="34">
        <v>0</v>
      </c>
      <c r="J211" s="34">
        <v>0</v>
      </c>
      <c r="K211" s="31">
        <v>9956500</v>
      </c>
      <c r="L211" s="31">
        <v>26455000</v>
      </c>
      <c r="M211" s="31">
        <v>9482000</v>
      </c>
      <c r="N211" s="31">
        <v>1335000</v>
      </c>
      <c r="O211" s="31">
        <v>662000</v>
      </c>
      <c r="P211" s="33">
        <v>6711000</v>
      </c>
      <c r="Q211" s="34">
        <v>0</v>
      </c>
      <c r="R211" s="31">
        <v>1703000</v>
      </c>
      <c r="S211" s="31">
        <v>41468000</v>
      </c>
      <c r="T211" s="31">
        <v>75982000</v>
      </c>
      <c r="U211" s="31">
        <v>20757000</v>
      </c>
      <c r="V211" s="34">
        <v>0</v>
      </c>
      <c r="W211" s="31">
        <v>335000</v>
      </c>
      <c r="X211" s="31">
        <v>13930350</v>
      </c>
      <c r="Y211" s="36"/>
      <c r="Z211" s="19"/>
      <c r="AA211" s="19">
        <f>T211/T210</f>
        <v>1.582694550908182</v>
      </c>
      <c r="AB211" s="19"/>
    </row>
    <row r="212" spans="1:29" s="44" customFormat="1" ht="25.5" customHeight="1" x14ac:dyDescent="0.4">
      <c r="A212" s="173"/>
      <c r="B212" s="37" t="s">
        <v>36</v>
      </c>
      <c r="C212" s="38">
        <v>312514967</v>
      </c>
      <c r="D212" s="39">
        <v>16671000</v>
      </c>
      <c r="E212" s="38">
        <v>13302000</v>
      </c>
      <c r="F212" s="38">
        <v>4983000</v>
      </c>
      <c r="G212" s="40">
        <v>35981200</v>
      </c>
      <c r="H212" s="38">
        <v>75276124</v>
      </c>
      <c r="I212" s="38">
        <v>10070500</v>
      </c>
      <c r="J212" s="38">
        <v>5817000</v>
      </c>
      <c r="K212" s="38">
        <v>5363300</v>
      </c>
      <c r="L212" s="38">
        <v>15085000</v>
      </c>
      <c r="M212" s="38">
        <v>18721500</v>
      </c>
      <c r="N212" s="38">
        <v>0</v>
      </c>
      <c r="O212" s="38">
        <v>0</v>
      </c>
      <c r="P212" s="40">
        <v>4304000</v>
      </c>
      <c r="Q212" s="38">
        <v>30418000</v>
      </c>
      <c r="R212" s="38">
        <v>12219000</v>
      </c>
      <c r="S212" s="38">
        <v>59149000</v>
      </c>
      <c r="T212" s="38">
        <v>56506000</v>
      </c>
      <c r="U212" s="38">
        <v>0</v>
      </c>
      <c r="V212" s="38">
        <v>304000</v>
      </c>
      <c r="W212" s="38">
        <v>0</v>
      </c>
      <c r="X212" s="38">
        <v>-51655657</v>
      </c>
      <c r="Y212" s="42"/>
      <c r="Z212" s="43"/>
      <c r="AA212" s="43"/>
      <c r="AB212" s="43"/>
    </row>
    <row r="213" spans="1:29" s="44" customFormat="1" ht="25.5" customHeight="1" x14ac:dyDescent="0.4">
      <c r="A213" s="173"/>
      <c r="B213" s="45" t="s">
        <v>37</v>
      </c>
      <c r="C213" s="46">
        <f t="shared" ref="C212:C213" si="159">SUM(D213:X213)</f>
        <v>354300000</v>
      </c>
      <c r="D213" s="47">
        <f>ROUNDUP(D211*102%,-5)</f>
        <v>12600000</v>
      </c>
      <c r="E213" s="46">
        <f t="shared" ref="E213" si="160">ROUNDUP(E211*102%,-5)</f>
        <v>12100000</v>
      </c>
      <c r="F213" s="46">
        <f>ROUNDUP(F211*102%,-5)</f>
        <v>3400000</v>
      </c>
      <c r="G213" s="48">
        <f>ROUNDUP(G211*104%,-5)</f>
        <v>50100000</v>
      </c>
      <c r="H213" s="46">
        <f>ROUNDUP(H211*105%,-5)</f>
        <v>53700000</v>
      </c>
      <c r="I213" s="50">
        <f>ROUNDUP(I205*102%,-5)</f>
        <v>14100000</v>
      </c>
      <c r="J213" s="50">
        <f>ROUNDUP(I213*70%,-5)</f>
        <v>9900000</v>
      </c>
      <c r="K213" s="46">
        <f>ROUNDUP(K211*102%,-5)</f>
        <v>10200000</v>
      </c>
      <c r="L213" s="46">
        <f>ROUNDUP(L211*60%,-5)</f>
        <v>15900000</v>
      </c>
      <c r="M213" s="50">
        <f>ROUNDUP(M211*250%,-5)</f>
        <v>23800000</v>
      </c>
      <c r="N213" s="46">
        <f t="shared" ref="N213:P213" si="161">ROUNDUP(N211*102%,-5)</f>
        <v>1400000</v>
      </c>
      <c r="O213" s="46">
        <f t="shared" si="161"/>
        <v>700000</v>
      </c>
      <c r="P213" s="48">
        <f t="shared" si="161"/>
        <v>6900000</v>
      </c>
      <c r="Q213" s="50">
        <f>ROUNDUP(U211*53.4%,-5)</f>
        <v>11100000</v>
      </c>
      <c r="R213" s="50">
        <f>ROUNDUP(R211*120%,-5)</f>
        <v>2100000</v>
      </c>
      <c r="S213" s="50">
        <f>ROUNDUP(S211*120%,-5)</f>
        <v>49800000</v>
      </c>
      <c r="T213" s="46">
        <f>ROUNDUP(T211*80%,-5)</f>
        <v>60800000</v>
      </c>
      <c r="U213" s="50">
        <v>0</v>
      </c>
      <c r="V213" s="50">
        <v>500000</v>
      </c>
      <c r="W213" s="50">
        <f>ROUNDUP(W211*120%,-5)</f>
        <v>500000</v>
      </c>
      <c r="X213" s="46">
        <f>ROUNDUP(X211*105%,-5)</f>
        <v>14700000</v>
      </c>
      <c r="Y213" s="51" t="s">
        <v>38</v>
      </c>
      <c r="Z213" s="43"/>
      <c r="AA213" s="43">
        <f>D213/D205</f>
        <v>1.069083133940844</v>
      </c>
      <c r="AB213" s="43"/>
    </row>
    <row r="214" spans="1:29" s="59" customFormat="1" ht="25.5" customHeight="1" x14ac:dyDescent="0.4">
      <c r="A214" s="173"/>
      <c r="B214" s="12" t="s">
        <v>39</v>
      </c>
      <c r="C214" s="52">
        <f>SUM(D214:X214)</f>
        <v>102007067</v>
      </c>
      <c r="D214" s="53">
        <f>D212-D205</f>
        <v>4885200</v>
      </c>
      <c r="E214" s="52">
        <f t="shared" ref="E214:X214" si="162">E212-E205</f>
        <v>-20956500</v>
      </c>
      <c r="F214" s="54">
        <f t="shared" si="162"/>
        <v>4983000</v>
      </c>
      <c r="G214" s="55">
        <f t="shared" si="162"/>
        <v>35981200</v>
      </c>
      <c r="H214" s="54">
        <f t="shared" si="162"/>
        <v>75276124</v>
      </c>
      <c r="I214" s="52">
        <f t="shared" si="162"/>
        <v>-3713600</v>
      </c>
      <c r="J214" s="52">
        <f t="shared" si="162"/>
        <v>5817000</v>
      </c>
      <c r="K214" s="56">
        <f t="shared" si="162"/>
        <v>-20657700</v>
      </c>
      <c r="L214" s="52">
        <f t="shared" si="162"/>
        <v>5134000</v>
      </c>
      <c r="M214" s="52">
        <f t="shared" si="162"/>
        <v>1992000</v>
      </c>
      <c r="N214" s="52">
        <f t="shared" si="162"/>
        <v>-1408000</v>
      </c>
      <c r="O214" s="54">
        <f t="shared" si="162"/>
        <v>0</v>
      </c>
      <c r="P214" s="55">
        <f t="shared" si="162"/>
        <v>4304000</v>
      </c>
      <c r="Q214" s="56">
        <f t="shared" si="162"/>
        <v>-5079000</v>
      </c>
      <c r="R214" s="54">
        <f t="shared" si="162"/>
        <v>12219000</v>
      </c>
      <c r="S214" s="56">
        <f t="shared" si="162"/>
        <v>32672000</v>
      </c>
      <c r="T214" s="56">
        <f t="shared" si="162"/>
        <v>21910000</v>
      </c>
      <c r="U214" s="54">
        <f t="shared" si="162"/>
        <v>0</v>
      </c>
      <c r="V214" s="54">
        <f t="shared" si="162"/>
        <v>304000</v>
      </c>
      <c r="W214" s="54">
        <f t="shared" si="162"/>
        <v>0</v>
      </c>
      <c r="X214" s="54">
        <f t="shared" si="162"/>
        <v>-51655657</v>
      </c>
      <c r="Y214" s="57"/>
      <c r="Z214" s="58"/>
      <c r="AA214" s="58"/>
      <c r="AB214" s="58"/>
    </row>
    <row r="215" spans="1:29" s="20" customFormat="1" ht="25.5" customHeight="1" x14ac:dyDescent="0.4">
      <c r="A215" s="173"/>
      <c r="B215" s="21" t="s">
        <v>40</v>
      </c>
      <c r="C215" s="60">
        <f>IFERROR(C211/C205,0)</f>
        <v>1.5933542161600587</v>
      </c>
      <c r="D215" s="61">
        <f>IFERROR(D212/D205,0)</f>
        <v>1.4144988036450643</v>
      </c>
      <c r="E215" s="60">
        <f t="shared" ref="E215:X215" si="163">IFERROR(E212/E205,0)</f>
        <v>0.38828319978983317</v>
      </c>
      <c r="F215" s="62">
        <f t="shared" si="163"/>
        <v>0</v>
      </c>
      <c r="G215" s="63">
        <f t="shared" si="163"/>
        <v>0</v>
      </c>
      <c r="H215" s="62">
        <f t="shared" si="163"/>
        <v>0</v>
      </c>
      <c r="I215" s="60">
        <f t="shared" si="163"/>
        <v>0.73058814140930495</v>
      </c>
      <c r="J215" s="60">
        <f t="shared" si="163"/>
        <v>0</v>
      </c>
      <c r="K215" s="64">
        <f t="shared" si="163"/>
        <v>0.20611429230237116</v>
      </c>
      <c r="L215" s="60">
        <f t="shared" si="163"/>
        <v>1.5159280474324188</v>
      </c>
      <c r="M215" s="60">
        <f t="shared" si="163"/>
        <v>1.1190711019456649</v>
      </c>
      <c r="N215" s="60">
        <f t="shared" si="163"/>
        <v>0</v>
      </c>
      <c r="O215" s="62">
        <f t="shared" si="163"/>
        <v>0</v>
      </c>
      <c r="P215" s="63">
        <f t="shared" si="163"/>
        <v>0</v>
      </c>
      <c r="Q215" s="64">
        <f t="shared" si="163"/>
        <v>0.85691748598473105</v>
      </c>
      <c r="R215" s="62">
        <f t="shared" si="163"/>
        <v>0</v>
      </c>
      <c r="S215" s="64">
        <f t="shared" si="163"/>
        <v>2.2339766589870456</v>
      </c>
      <c r="T215" s="64">
        <f t="shared" si="163"/>
        <v>1.6333102092727483</v>
      </c>
      <c r="U215" s="62">
        <f t="shared" si="163"/>
        <v>0</v>
      </c>
      <c r="V215" s="62">
        <f t="shared" si="163"/>
        <v>0</v>
      </c>
      <c r="W215" s="62">
        <f t="shared" si="163"/>
        <v>0</v>
      </c>
      <c r="X215" s="62">
        <f t="shared" si="163"/>
        <v>0</v>
      </c>
      <c r="Y215" s="65"/>
      <c r="Z215" s="19"/>
      <c r="AA215" s="19"/>
      <c r="AB215" s="19"/>
    </row>
    <row r="216" spans="1:29" s="59" customFormat="1" ht="25.5" customHeight="1" x14ac:dyDescent="0.4">
      <c r="A216" s="173"/>
      <c r="B216" s="21" t="s">
        <v>41</v>
      </c>
      <c r="C216" s="66">
        <f>SUM(D216:X216)</f>
        <v>265788467</v>
      </c>
      <c r="D216" s="67">
        <f>D212-D206</f>
        <v>14883000</v>
      </c>
      <c r="E216" s="66">
        <f t="shared" ref="E216:X216" si="164">E212-E206</f>
        <v>11973000</v>
      </c>
      <c r="F216" s="66">
        <f t="shared" si="164"/>
        <v>4461000</v>
      </c>
      <c r="G216" s="68">
        <f t="shared" si="164"/>
        <v>35981200</v>
      </c>
      <c r="H216" s="69">
        <f t="shared" si="164"/>
        <v>75276124</v>
      </c>
      <c r="I216" s="66">
        <f t="shared" si="164"/>
        <v>7948500</v>
      </c>
      <c r="J216" s="69">
        <f t="shared" si="164"/>
        <v>5817000</v>
      </c>
      <c r="K216" s="70">
        <f t="shared" si="164"/>
        <v>5363300</v>
      </c>
      <c r="L216" s="66">
        <f t="shared" si="164"/>
        <v>11643000</v>
      </c>
      <c r="M216" s="66">
        <f t="shared" si="164"/>
        <v>6268000</v>
      </c>
      <c r="N216" s="66">
        <f t="shared" si="164"/>
        <v>-194000</v>
      </c>
      <c r="O216" s="69">
        <f t="shared" si="164"/>
        <v>0</v>
      </c>
      <c r="P216" s="68">
        <f t="shared" si="164"/>
        <v>-144000</v>
      </c>
      <c r="Q216" s="70">
        <f t="shared" si="164"/>
        <v>30418000</v>
      </c>
      <c r="R216" s="69">
        <f t="shared" si="164"/>
        <v>12219000</v>
      </c>
      <c r="S216" s="70">
        <f t="shared" si="164"/>
        <v>41283000</v>
      </c>
      <c r="T216" s="70">
        <f t="shared" si="164"/>
        <v>53944000</v>
      </c>
      <c r="U216" s="69">
        <f t="shared" si="164"/>
        <v>0</v>
      </c>
      <c r="V216" s="69">
        <f t="shared" si="164"/>
        <v>304000</v>
      </c>
      <c r="W216" s="69">
        <f t="shared" si="164"/>
        <v>0</v>
      </c>
      <c r="X216" s="69">
        <f t="shared" si="164"/>
        <v>-51655657</v>
      </c>
      <c r="Y216" s="27"/>
      <c r="Z216" s="58"/>
      <c r="AA216" s="58"/>
      <c r="AB216" s="58"/>
    </row>
    <row r="217" spans="1:29" s="20" customFormat="1" ht="25.5" customHeight="1" x14ac:dyDescent="0.4">
      <c r="A217" s="173"/>
      <c r="B217" s="21" t="s">
        <v>42</v>
      </c>
      <c r="C217" s="60">
        <f>IFERROR(C211/C206,0)</f>
        <v>7.1782318384642547</v>
      </c>
      <c r="D217" s="61">
        <f>IFERROR(D212/D206,0)</f>
        <v>9.3238255033557049</v>
      </c>
      <c r="E217" s="60">
        <f t="shared" ref="E217:X217" si="165">IFERROR(E212/E206,0)</f>
        <v>10.009029345372461</v>
      </c>
      <c r="F217" s="60">
        <f t="shared" si="165"/>
        <v>9.5459770114942533</v>
      </c>
      <c r="G217" s="63">
        <f t="shared" si="165"/>
        <v>0</v>
      </c>
      <c r="H217" s="62">
        <f t="shared" si="165"/>
        <v>0</v>
      </c>
      <c r="I217" s="60">
        <f t="shared" si="165"/>
        <v>4.7457587181903866</v>
      </c>
      <c r="J217" s="62">
        <f t="shared" si="165"/>
        <v>0</v>
      </c>
      <c r="K217" s="64">
        <f t="shared" si="165"/>
        <v>0</v>
      </c>
      <c r="L217" s="60">
        <f t="shared" si="165"/>
        <v>4.3826263800116214</v>
      </c>
      <c r="M217" s="60">
        <f t="shared" si="165"/>
        <v>1.5033123218372346</v>
      </c>
      <c r="N217" s="60">
        <f t="shared" si="165"/>
        <v>0</v>
      </c>
      <c r="O217" s="62">
        <f t="shared" si="165"/>
        <v>0</v>
      </c>
      <c r="P217" s="63">
        <f t="shared" si="165"/>
        <v>0.96762589928057552</v>
      </c>
      <c r="Q217" s="64">
        <f t="shared" si="165"/>
        <v>0</v>
      </c>
      <c r="R217" s="62">
        <f t="shared" si="165"/>
        <v>0</v>
      </c>
      <c r="S217" s="64">
        <f t="shared" si="165"/>
        <v>3.3107018918616364</v>
      </c>
      <c r="T217" s="64">
        <f t="shared" si="165"/>
        <v>22.055425448868071</v>
      </c>
      <c r="U217" s="62">
        <f t="shared" si="165"/>
        <v>0</v>
      </c>
      <c r="V217" s="62">
        <f t="shared" si="165"/>
        <v>0</v>
      </c>
      <c r="W217" s="62">
        <f t="shared" si="165"/>
        <v>0</v>
      </c>
      <c r="X217" s="62">
        <f t="shared" si="165"/>
        <v>0</v>
      </c>
      <c r="Y217" s="65"/>
      <c r="Z217" s="19"/>
      <c r="AA217" s="19"/>
      <c r="AB217" s="19"/>
    </row>
    <row r="218" spans="1:29" s="59" customFormat="1" ht="25.5" customHeight="1" x14ac:dyDescent="0.4">
      <c r="A218" s="173"/>
      <c r="B218" s="21" t="s">
        <v>43</v>
      </c>
      <c r="C218" s="66">
        <f>SUM(D218:X218)</f>
        <v>173652967</v>
      </c>
      <c r="D218" s="67">
        <f>D212-D207</f>
        <v>11716000</v>
      </c>
      <c r="E218" s="66">
        <f t="shared" ref="E218:X218" si="166">E212-E207</f>
        <v>207000</v>
      </c>
      <c r="F218" s="66">
        <f t="shared" si="166"/>
        <v>4983000</v>
      </c>
      <c r="G218" s="71">
        <f t="shared" si="166"/>
        <v>27353200</v>
      </c>
      <c r="H218" s="69">
        <f t="shared" si="166"/>
        <v>75276124</v>
      </c>
      <c r="I218" s="66">
        <f t="shared" si="166"/>
        <v>6689500</v>
      </c>
      <c r="J218" s="69">
        <f t="shared" si="166"/>
        <v>5817000</v>
      </c>
      <c r="K218" s="25">
        <f t="shared" si="166"/>
        <v>5363300</v>
      </c>
      <c r="L218" s="66">
        <f t="shared" si="166"/>
        <v>6320000</v>
      </c>
      <c r="M218" s="66">
        <f t="shared" si="166"/>
        <v>3624500</v>
      </c>
      <c r="N218" s="66">
        <f t="shared" si="166"/>
        <v>0</v>
      </c>
      <c r="O218" s="69">
        <f t="shared" si="166"/>
        <v>0</v>
      </c>
      <c r="P218" s="72">
        <f t="shared" si="166"/>
        <v>-5129000</v>
      </c>
      <c r="Q218" s="70">
        <f t="shared" si="166"/>
        <v>22644000</v>
      </c>
      <c r="R218" s="69">
        <f t="shared" si="166"/>
        <v>12219000</v>
      </c>
      <c r="S218" s="70">
        <f t="shared" si="166"/>
        <v>16372000</v>
      </c>
      <c r="T218" s="70">
        <f t="shared" si="166"/>
        <v>31549000</v>
      </c>
      <c r="U218" s="69">
        <f t="shared" si="166"/>
        <v>0</v>
      </c>
      <c r="V218" s="69">
        <f t="shared" si="166"/>
        <v>304000</v>
      </c>
      <c r="W218" s="69">
        <f t="shared" si="166"/>
        <v>0</v>
      </c>
      <c r="X218" s="69">
        <f t="shared" si="166"/>
        <v>-51655657</v>
      </c>
      <c r="Y218" s="27"/>
      <c r="Z218" s="58"/>
      <c r="AA218" s="58"/>
      <c r="AB218" s="58"/>
    </row>
    <row r="219" spans="1:29" s="20" customFormat="1" ht="25.5" customHeight="1" x14ac:dyDescent="0.4">
      <c r="A219" s="173"/>
      <c r="B219" s="21" t="s">
        <v>44</v>
      </c>
      <c r="C219" s="60">
        <f>IFERROR(C211/C207,0)</f>
        <v>2.4154459103282395</v>
      </c>
      <c r="D219" s="61">
        <f>IFERROR(D212/D207,0)</f>
        <v>3.3644803229061555</v>
      </c>
      <c r="E219" s="60">
        <f t="shared" ref="E219:X219" si="167">IFERROR(E212/E207,0)</f>
        <v>1.015807560137457</v>
      </c>
      <c r="F219" s="60">
        <f t="shared" si="167"/>
        <v>0</v>
      </c>
      <c r="G219" s="73">
        <f t="shared" si="167"/>
        <v>4.1702828001854426</v>
      </c>
      <c r="H219" s="62">
        <f t="shared" si="167"/>
        <v>0</v>
      </c>
      <c r="I219" s="60">
        <f t="shared" si="167"/>
        <v>2.9785566400473233</v>
      </c>
      <c r="J219" s="62">
        <f t="shared" si="167"/>
        <v>0</v>
      </c>
      <c r="K219" s="62">
        <f t="shared" si="167"/>
        <v>0</v>
      </c>
      <c r="L219" s="60">
        <f t="shared" si="167"/>
        <v>1.7210496292070736</v>
      </c>
      <c r="M219" s="60">
        <f t="shared" si="167"/>
        <v>1.240080810757104</v>
      </c>
      <c r="N219" s="60">
        <f t="shared" si="167"/>
        <v>0</v>
      </c>
      <c r="O219" s="62">
        <f t="shared" si="167"/>
        <v>0</v>
      </c>
      <c r="P219" s="74">
        <f t="shared" si="167"/>
        <v>0.45627053959503872</v>
      </c>
      <c r="Q219" s="64">
        <f t="shared" si="167"/>
        <v>3.9127862104450735</v>
      </c>
      <c r="R219" s="62">
        <f t="shared" si="167"/>
        <v>0</v>
      </c>
      <c r="S219" s="64">
        <f t="shared" si="167"/>
        <v>1.3827290366318348</v>
      </c>
      <c r="T219" s="64">
        <f t="shared" si="167"/>
        <v>2.2641343110149457</v>
      </c>
      <c r="U219" s="62">
        <f t="shared" si="167"/>
        <v>0</v>
      </c>
      <c r="V219" s="62">
        <f t="shared" si="167"/>
        <v>0</v>
      </c>
      <c r="W219" s="62">
        <f t="shared" si="167"/>
        <v>0</v>
      </c>
      <c r="X219" s="62">
        <f t="shared" si="167"/>
        <v>0</v>
      </c>
      <c r="Y219" s="65"/>
      <c r="Z219" s="19"/>
      <c r="AA219" s="19"/>
      <c r="AB219" s="19"/>
    </row>
    <row r="220" spans="1:29" s="59" customFormat="1" ht="25.5" customHeight="1" x14ac:dyDescent="0.4">
      <c r="A220" s="173"/>
      <c r="B220" s="21" t="s">
        <v>45</v>
      </c>
      <c r="C220" s="66">
        <f>SUM(D220:X220)</f>
        <v>80351967</v>
      </c>
      <c r="D220" s="67">
        <f>D212-D208</f>
        <v>-5323000</v>
      </c>
      <c r="E220" s="66">
        <f t="shared" ref="E220:X220" si="168">E212-E208</f>
        <v>-10960000</v>
      </c>
      <c r="F220" s="66">
        <f t="shared" si="168"/>
        <v>4983000</v>
      </c>
      <c r="G220" s="71">
        <f t="shared" si="168"/>
        <v>10490200</v>
      </c>
      <c r="H220" s="69">
        <f t="shared" si="168"/>
        <v>75276124</v>
      </c>
      <c r="I220" s="66">
        <f t="shared" si="168"/>
        <v>10070500</v>
      </c>
      <c r="J220" s="69">
        <f t="shared" si="168"/>
        <v>5817000</v>
      </c>
      <c r="K220" s="25">
        <f t="shared" si="168"/>
        <v>5363300</v>
      </c>
      <c r="L220" s="66">
        <f t="shared" si="168"/>
        <v>961000</v>
      </c>
      <c r="M220" s="66">
        <f t="shared" si="168"/>
        <v>4936500</v>
      </c>
      <c r="N220" s="66">
        <f t="shared" si="168"/>
        <v>-2065000</v>
      </c>
      <c r="O220" s="69">
        <f t="shared" si="168"/>
        <v>0</v>
      </c>
      <c r="P220" s="72">
        <f t="shared" si="168"/>
        <v>-11351000</v>
      </c>
      <c r="Q220" s="70">
        <f t="shared" si="168"/>
        <v>8499000</v>
      </c>
      <c r="R220" s="69">
        <f t="shared" si="168"/>
        <v>12219000</v>
      </c>
      <c r="S220" s="70">
        <f t="shared" si="168"/>
        <v>10915000</v>
      </c>
      <c r="T220" s="70">
        <f t="shared" si="168"/>
        <v>11872000</v>
      </c>
      <c r="U220" s="69">
        <f t="shared" si="168"/>
        <v>0</v>
      </c>
      <c r="V220" s="69">
        <f t="shared" si="168"/>
        <v>304000</v>
      </c>
      <c r="W220" s="69">
        <f t="shared" si="168"/>
        <v>0</v>
      </c>
      <c r="X220" s="69">
        <f t="shared" si="168"/>
        <v>-51655657</v>
      </c>
      <c r="Y220" s="27"/>
      <c r="Z220" s="58"/>
      <c r="AA220" s="58"/>
      <c r="AB220" s="58"/>
    </row>
    <row r="221" spans="1:29" s="20" customFormat="1" ht="25.5" customHeight="1" x14ac:dyDescent="0.4">
      <c r="A221" s="173"/>
      <c r="B221" s="21" t="s">
        <v>46</v>
      </c>
      <c r="C221" s="60">
        <f>IFERROR(C211/C208,0)</f>
        <v>1.4447334415906066</v>
      </c>
      <c r="D221" s="61">
        <f>IFERROR(D212/D208,0)</f>
        <v>0.75797944894062019</v>
      </c>
      <c r="E221" s="60">
        <f t="shared" ref="E221:X221" si="169">IFERROR(E212/E208,0)</f>
        <v>0.548264776193224</v>
      </c>
      <c r="F221" s="60">
        <f t="shared" si="169"/>
        <v>0</v>
      </c>
      <c r="G221" s="73">
        <f t="shared" si="169"/>
        <v>1.4115256364991566</v>
      </c>
      <c r="H221" s="62">
        <f t="shared" si="169"/>
        <v>0</v>
      </c>
      <c r="I221" s="60">
        <f t="shared" si="169"/>
        <v>0</v>
      </c>
      <c r="J221" s="62">
        <f t="shared" si="169"/>
        <v>0</v>
      </c>
      <c r="K221" s="62">
        <f t="shared" si="169"/>
        <v>0</v>
      </c>
      <c r="L221" s="60">
        <f t="shared" si="169"/>
        <v>1.068040215236477</v>
      </c>
      <c r="M221" s="60">
        <f t="shared" si="169"/>
        <v>1.3581066376496191</v>
      </c>
      <c r="N221" s="60">
        <f t="shared" si="169"/>
        <v>0</v>
      </c>
      <c r="O221" s="62">
        <f t="shared" si="169"/>
        <v>0</v>
      </c>
      <c r="P221" s="74">
        <f t="shared" si="169"/>
        <v>0.27492813797508781</v>
      </c>
      <c r="Q221" s="64">
        <f t="shared" si="169"/>
        <v>1.3877457913225968</v>
      </c>
      <c r="R221" s="62">
        <f t="shared" si="169"/>
        <v>0</v>
      </c>
      <c r="S221" s="64">
        <f t="shared" si="169"/>
        <v>1.2262926566322512</v>
      </c>
      <c r="T221" s="64">
        <f t="shared" si="169"/>
        <v>1.2659855715373931</v>
      </c>
      <c r="U221" s="62">
        <f t="shared" si="169"/>
        <v>0</v>
      </c>
      <c r="V221" s="62">
        <f t="shared" si="169"/>
        <v>0</v>
      </c>
      <c r="W221" s="62">
        <f t="shared" si="169"/>
        <v>0</v>
      </c>
      <c r="X221" s="62">
        <f t="shared" si="169"/>
        <v>0</v>
      </c>
      <c r="Y221" s="65"/>
      <c r="Z221" s="19"/>
      <c r="AA221" s="19"/>
      <c r="AB221" s="19"/>
    </row>
    <row r="222" spans="1:29" s="59" customFormat="1" ht="25.5" customHeight="1" x14ac:dyDescent="0.4">
      <c r="A222" s="173"/>
      <c r="B222" s="21" t="s">
        <v>47</v>
      </c>
      <c r="C222" s="66">
        <f>SUM(D222:X222)</f>
        <v>25292767</v>
      </c>
      <c r="D222" s="67">
        <f>D212-D209</f>
        <v>-2987000</v>
      </c>
      <c r="E222" s="66">
        <f t="shared" ref="E222:X222" si="170">E212-E209</f>
        <v>-10146000</v>
      </c>
      <c r="F222" s="66">
        <f t="shared" si="170"/>
        <v>4983000</v>
      </c>
      <c r="G222" s="71">
        <f t="shared" si="170"/>
        <v>-13360700</v>
      </c>
      <c r="H222" s="69">
        <f t="shared" si="170"/>
        <v>23438424</v>
      </c>
      <c r="I222" s="69">
        <f t="shared" si="170"/>
        <v>10070500</v>
      </c>
      <c r="J222" s="69">
        <f t="shared" si="170"/>
        <v>5817000</v>
      </c>
      <c r="K222" s="25">
        <f t="shared" si="170"/>
        <v>5363300</v>
      </c>
      <c r="L222" s="66">
        <f t="shared" si="170"/>
        <v>4596000</v>
      </c>
      <c r="M222" s="66">
        <f t="shared" si="170"/>
        <v>6947500</v>
      </c>
      <c r="N222" s="66">
        <f t="shared" si="170"/>
        <v>-1949000</v>
      </c>
      <c r="O222" s="69">
        <f t="shared" si="170"/>
        <v>0</v>
      </c>
      <c r="P222" s="72">
        <f t="shared" si="170"/>
        <v>-13534000</v>
      </c>
      <c r="Q222" s="66">
        <f t="shared" si="170"/>
        <v>28993300</v>
      </c>
      <c r="R222" s="69">
        <f t="shared" si="170"/>
        <v>12219000</v>
      </c>
      <c r="S222" s="70">
        <f t="shared" si="170"/>
        <v>14404000</v>
      </c>
      <c r="T222" s="66">
        <f t="shared" si="170"/>
        <v>6121000</v>
      </c>
      <c r="U222" s="69">
        <f t="shared" si="170"/>
        <v>0</v>
      </c>
      <c r="V222" s="69">
        <f t="shared" si="170"/>
        <v>304000</v>
      </c>
      <c r="W222" s="69">
        <f t="shared" si="170"/>
        <v>0</v>
      </c>
      <c r="X222" s="69">
        <f t="shared" si="170"/>
        <v>-55987557</v>
      </c>
      <c r="Y222" s="27"/>
      <c r="Z222" s="58"/>
      <c r="AA222" s="58"/>
      <c r="AB222" s="58"/>
    </row>
    <row r="223" spans="1:29" s="20" customFormat="1" ht="25.5" customHeight="1" x14ac:dyDescent="0.4">
      <c r="A223" s="173"/>
      <c r="B223" s="21" t="s">
        <v>48</v>
      </c>
      <c r="C223" s="60">
        <f>IFERROR(C211/C209,0)</f>
        <v>1.1677845584359425</v>
      </c>
      <c r="D223" s="61">
        <f>IFERROR(D212/D209,0)</f>
        <v>0.84805168379285789</v>
      </c>
      <c r="E223" s="60">
        <f t="shared" ref="E223:X223" si="171">IFERROR(E212/E209,0)</f>
        <v>0.56729785056294779</v>
      </c>
      <c r="F223" s="60">
        <f t="shared" si="171"/>
        <v>0</v>
      </c>
      <c r="G223" s="73">
        <f t="shared" si="171"/>
        <v>0.72922202023027083</v>
      </c>
      <c r="H223" s="62">
        <f t="shared" si="171"/>
        <v>1.4521501532668308</v>
      </c>
      <c r="I223" s="62">
        <f t="shared" si="171"/>
        <v>0</v>
      </c>
      <c r="J223" s="62">
        <f t="shared" si="171"/>
        <v>0</v>
      </c>
      <c r="K223" s="62">
        <f t="shared" si="171"/>
        <v>0</v>
      </c>
      <c r="L223" s="60">
        <f t="shared" si="171"/>
        <v>1.4381733244351225</v>
      </c>
      <c r="M223" s="60">
        <f t="shared" si="171"/>
        <v>1.5900713436385256</v>
      </c>
      <c r="N223" s="60">
        <f t="shared" si="171"/>
        <v>0</v>
      </c>
      <c r="O223" s="62">
        <f t="shared" si="171"/>
        <v>0</v>
      </c>
      <c r="P223" s="74">
        <f t="shared" si="171"/>
        <v>0.24128265500616661</v>
      </c>
      <c r="Q223" s="60">
        <f t="shared" si="171"/>
        <v>21.350459745911419</v>
      </c>
      <c r="R223" s="62">
        <f t="shared" si="171"/>
        <v>0</v>
      </c>
      <c r="S223" s="64">
        <f t="shared" si="171"/>
        <v>1.3219130629120572</v>
      </c>
      <c r="T223" s="60">
        <f t="shared" si="171"/>
        <v>1.1214845688200854</v>
      </c>
      <c r="U223" s="62">
        <f t="shared" si="171"/>
        <v>0</v>
      </c>
      <c r="V223" s="62">
        <f t="shared" si="171"/>
        <v>0</v>
      </c>
      <c r="W223" s="62">
        <f t="shared" si="171"/>
        <v>0</v>
      </c>
      <c r="X223" s="62">
        <f t="shared" si="171"/>
        <v>-11.924480482005587</v>
      </c>
      <c r="Y223" s="65"/>
      <c r="Z223" s="19"/>
      <c r="AA223" s="19"/>
      <c r="AB223" s="19"/>
    </row>
    <row r="224" spans="1:29" s="20" customFormat="1" ht="25.5" customHeight="1" x14ac:dyDescent="0.4">
      <c r="A224" s="173"/>
      <c r="B224" s="21" t="s">
        <v>49</v>
      </c>
      <c r="C224" s="66">
        <f>SUM(D224:X224)</f>
        <v>-31064762</v>
      </c>
      <c r="D224" s="67">
        <f>D212-D210</f>
        <v>-11143000</v>
      </c>
      <c r="E224" s="66">
        <f t="shared" ref="E224:X224" si="172">E212-E210</f>
        <v>-10936000</v>
      </c>
      <c r="F224" s="66">
        <f t="shared" si="172"/>
        <v>-6684000</v>
      </c>
      <c r="G224" s="71">
        <f t="shared" si="172"/>
        <v>-33476600</v>
      </c>
      <c r="H224" s="66">
        <f t="shared" si="172"/>
        <v>12939124</v>
      </c>
      <c r="I224" s="69">
        <f t="shared" si="172"/>
        <v>10070500</v>
      </c>
      <c r="J224" s="69">
        <f t="shared" si="172"/>
        <v>5817000</v>
      </c>
      <c r="K224" s="25">
        <f t="shared" si="172"/>
        <v>5363300</v>
      </c>
      <c r="L224" s="66">
        <f t="shared" si="172"/>
        <v>3487000</v>
      </c>
      <c r="M224" s="66">
        <f t="shared" si="172"/>
        <v>7410481</v>
      </c>
      <c r="N224" s="66">
        <f t="shared" si="172"/>
        <v>-1755000</v>
      </c>
      <c r="O224" s="69">
        <f t="shared" si="172"/>
        <v>-4281000</v>
      </c>
      <c r="P224" s="71">
        <f t="shared" si="172"/>
        <v>-10600000</v>
      </c>
      <c r="Q224" s="69">
        <f t="shared" si="172"/>
        <v>30418000</v>
      </c>
      <c r="R224" s="69">
        <f t="shared" si="172"/>
        <v>12219000</v>
      </c>
      <c r="S224" s="70">
        <f t="shared" si="172"/>
        <v>8046000</v>
      </c>
      <c r="T224" s="66">
        <f t="shared" si="172"/>
        <v>8498000</v>
      </c>
      <c r="U224" s="69">
        <f t="shared" si="172"/>
        <v>0</v>
      </c>
      <c r="V224" s="69">
        <f t="shared" si="172"/>
        <v>304000</v>
      </c>
      <c r="W224" s="69">
        <f t="shared" si="172"/>
        <v>0</v>
      </c>
      <c r="X224" s="66">
        <f t="shared" si="172"/>
        <v>-56761567</v>
      </c>
      <c r="Y224" s="27"/>
      <c r="Z224" s="19"/>
      <c r="AA224" s="19"/>
      <c r="AB224" s="19"/>
    </row>
    <row r="225" spans="1:29" s="20" customFormat="1" ht="25.5" customHeight="1" x14ac:dyDescent="0.4">
      <c r="A225" s="173"/>
      <c r="B225" s="21" t="s">
        <v>50</v>
      </c>
      <c r="C225" s="60">
        <f>IFERROR(C211/C210,0)</f>
        <v>0.97623236090275867</v>
      </c>
      <c r="D225" s="61">
        <f>IFERROR(D212/D210,0)</f>
        <v>0.59937441576184658</v>
      </c>
      <c r="E225" s="60">
        <f t="shared" ref="E225:X225" si="173">IFERROR(E212/E210,0)</f>
        <v>0.54880765739747506</v>
      </c>
      <c r="F225" s="60">
        <f t="shared" si="173"/>
        <v>0.42710208279763434</v>
      </c>
      <c r="G225" s="73">
        <f t="shared" si="173"/>
        <v>0.51802965253722399</v>
      </c>
      <c r="H225" s="60">
        <f t="shared" si="173"/>
        <v>1.2075673195694372</v>
      </c>
      <c r="I225" s="62">
        <f t="shared" si="173"/>
        <v>0</v>
      </c>
      <c r="J225" s="62">
        <f t="shared" si="173"/>
        <v>0</v>
      </c>
      <c r="K225" s="62">
        <f t="shared" si="173"/>
        <v>0</v>
      </c>
      <c r="L225" s="60">
        <f t="shared" si="173"/>
        <v>1.3006552853940334</v>
      </c>
      <c r="M225" s="60">
        <f t="shared" si="173"/>
        <v>1.6551559147765555</v>
      </c>
      <c r="N225" s="60">
        <f t="shared" si="173"/>
        <v>0</v>
      </c>
      <c r="O225" s="62">
        <f t="shared" si="173"/>
        <v>0</v>
      </c>
      <c r="P225" s="73">
        <f t="shared" si="173"/>
        <v>0.28878153515834676</v>
      </c>
      <c r="Q225" s="62">
        <f t="shared" si="173"/>
        <v>0</v>
      </c>
      <c r="R225" s="62">
        <f t="shared" si="173"/>
        <v>0</v>
      </c>
      <c r="S225" s="64">
        <f t="shared" si="173"/>
        <v>1.1574467252411795</v>
      </c>
      <c r="T225" s="60">
        <f t="shared" si="173"/>
        <v>1.1770121646392269</v>
      </c>
      <c r="U225" s="62">
        <f t="shared" si="173"/>
        <v>0</v>
      </c>
      <c r="V225" s="62">
        <f t="shared" si="173"/>
        <v>0</v>
      </c>
      <c r="W225" s="62">
        <f t="shared" si="173"/>
        <v>0</v>
      </c>
      <c r="X225" s="60">
        <f t="shared" si="173"/>
        <v>-10.116836567820428</v>
      </c>
      <c r="Y225" s="65"/>
      <c r="Z225" s="19"/>
      <c r="AA225" s="19"/>
      <c r="AB225" s="19"/>
    </row>
    <row r="226" spans="1:29" s="20" customFormat="1" ht="25.5" customHeight="1" x14ac:dyDescent="0.4">
      <c r="A226" s="173"/>
      <c r="B226" s="21" t="s">
        <v>51</v>
      </c>
      <c r="C226" s="66">
        <f>SUM(D226:X226)</f>
        <v>-22898683</v>
      </c>
      <c r="D226" s="67">
        <f>D212-D211</f>
        <v>4416000</v>
      </c>
      <c r="E226" s="66">
        <f t="shared" ref="E226:X226" si="174">E212-E211</f>
        <v>1446000</v>
      </c>
      <c r="F226" s="66">
        <f t="shared" si="174"/>
        <v>1668000</v>
      </c>
      <c r="G226" s="71">
        <f t="shared" si="174"/>
        <v>-12165300</v>
      </c>
      <c r="H226" s="66">
        <f t="shared" si="174"/>
        <v>24211824</v>
      </c>
      <c r="I226" s="69">
        <f t="shared" si="174"/>
        <v>10070500</v>
      </c>
      <c r="J226" s="69">
        <f t="shared" si="174"/>
        <v>5817000</v>
      </c>
      <c r="K226" s="22">
        <f t="shared" si="174"/>
        <v>-4593200</v>
      </c>
      <c r="L226" s="66">
        <f t="shared" si="174"/>
        <v>-11370000</v>
      </c>
      <c r="M226" s="66">
        <f t="shared" si="174"/>
        <v>9239500</v>
      </c>
      <c r="N226" s="66">
        <f t="shared" si="174"/>
        <v>-1335000</v>
      </c>
      <c r="O226" s="69">
        <f t="shared" si="174"/>
        <v>-662000</v>
      </c>
      <c r="P226" s="71">
        <f t="shared" si="174"/>
        <v>-2407000</v>
      </c>
      <c r="Q226" s="69">
        <f t="shared" si="174"/>
        <v>30418000</v>
      </c>
      <c r="R226" s="66">
        <f t="shared" si="174"/>
        <v>10516000</v>
      </c>
      <c r="S226" s="66">
        <f t="shared" si="174"/>
        <v>17681000</v>
      </c>
      <c r="T226" s="66">
        <f t="shared" si="174"/>
        <v>-19476000</v>
      </c>
      <c r="U226" s="66">
        <f t="shared" si="174"/>
        <v>-20757000</v>
      </c>
      <c r="V226" s="69">
        <f t="shared" si="174"/>
        <v>304000</v>
      </c>
      <c r="W226" s="66">
        <f t="shared" si="174"/>
        <v>-335000</v>
      </c>
      <c r="X226" s="66">
        <f t="shared" si="174"/>
        <v>-65586007</v>
      </c>
      <c r="Y226" s="27"/>
      <c r="Z226" s="19"/>
      <c r="AA226" s="19"/>
      <c r="AB226" s="19"/>
    </row>
    <row r="227" spans="1:29" s="20" customFormat="1" ht="25.5" customHeight="1" x14ac:dyDescent="0.4">
      <c r="A227" s="173"/>
      <c r="B227" s="21" t="s">
        <v>52</v>
      </c>
      <c r="C227" s="60">
        <f>IFERROR(C213/C212,0)</f>
        <v>1.1337057018456336</v>
      </c>
      <c r="D227" s="61">
        <f>IFERROR(D212/D211,0)</f>
        <v>1.3603427172582618</v>
      </c>
      <c r="E227" s="60">
        <f t="shared" ref="E227:X227" si="175">IFERROR(E212/E211,0)</f>
        <v>1.1219635627530364</v>
      </c>
      <c r="F227" s="60">
        <f t="shared" si="175"/>
        <v>1.5031674208144796</v>
      </c>
      <c r="G227" s="73">
        <f t="shared" si="175"/>
        <v>0.74732742774656513</v>
      </c>
      <c r="H227" s="60">
        <f t="shared" si="175"/>
        <v>1.4741438539253451</v>
      </c>
      <c r="I227" s="62">
        <f t="shared" si="175"/>
        <v>0</v>
      </c>
      <c r="J227" s="62">
        <f t="shared" si="175"/>
        <v>0</v>
      </c>
      <c r="K227" s="60">
        <f t="shared" si="175"/>
        <v>0.5386732285441671</v>
      </c>
      <c r="L227" s="60">
        <f t="shared" si="175"/>
        <v>0.57021357021357022</v>
      </c>
      <c r="M227" s="60">
        <f t="shared" si="175"/>
        <v>1.9744252267454123</v>
      </c>
      <c r="N227" s="60">
        <f t="shared" si="175"/>
        <v>0</v>
      </c>
      <c r="O227" s="62">
        <f t="shared" si="175"/>
        <v>0</v>
      </c>
      <c r="P227" s="73">
        <f t="shared" si="175"/>
        <v>0.64133512144240801</v>
      </c>
      <c r="Q227" s="62">
        <f t="shared" si="175"/>
        <v>0</v>
      </c>
      <c r="R227" s="60">
        <f t="shared" si="175"/>
        <v>7.1749853200234881</v>
      </c>
      <c r="S227" s="60">
        <f t="shared" si="175"/>
        <v>1.4263769653708884</v>
      </c>
      <c r="T227" s="60">
        <f t="shared" si="175"/>
        <v>0.74367613382116815</v>
      </c>
      <c r="U227" s="60">
        <f t="shared" si="175"/>
        <v>0</v>
      </c>
      <c r="V227" s="62">
        <f t="shared" si="175"/>
        <v>0</v>
      </c>
      <c r="W227" s="60">
        <f t="shared" si="175"/>
        <v>0</v>
      </c>
      <c r="X227" s="60">
        <f t="shared" si="175"/>
        <v>-3.7081377711256356</v>
      </c>
      <c r="Y227" s="65"/>
      <c r="Z227" s="19"/>
      <c r="AA227" s="19"/>
      <c r="AB227" s="19"/>
    </row>
    <row r="228" spans="1:29" s="82" customFormat="1" ht="25.5" customHeight="1" x14ac:dyDescent="0.4">
      <c r="A228" s="173"/>
      <c r="B228" s="75" t="s">
        <v>53</v>
      </c>
      <c r="C228" s="76">
        <f>SUM(D228:X228)</f>
        <v>-41785033</v>
      </c>
      <c r="D228" s="77">
        <f>D212-D213</f>
        <v>4071000</v>
      </c>
      <c r="E228" s="76">
        <f t="shared" ref="E228:X228" si="176">E212-E213</f>
        <v>1202000</v>
      </c>
      <c r="F228" s="76">
        <f t="shared" si="176"/>
        <v>1583000</v>
      </c>
      <c r="G228" s="78">
        <f t="shared" si="176"/>
        <v>-14118800</v>
      </c>
      <c r="H228" s="76">
        <f t="shared" si="176"/>
        <v>21576124</v>
      </c>
      <c r="I228" s="76">
        <f t="shared" si="176"/>
        <v>-4029500</v>
      </c>
      <c r="J228" s="76">
        <f t="shared" si="176"/>
        <v>-4083000</v>
      </c>
      <c r="K228" s="76">
        <f t="shared" si="176"/>
        <v>-4836700</v>
      </c>
      <c r="L228" s="76">
        <f t="shared" si="176"/>
        <v>-815000</v>
      </c>
      <c r="M228" s="76">
        <f t="shared" si="176"/>
        <v>-5078500</v>
      </c>
      <c r="N228" s="76">
        <f t="shared" si="176"/>
        <v>-1400000</v>
      </c>
      <c r="O228" s="76">
        <f t="shared" si="176"/>
        <v>-700000</v>
      </c>
      <c r="P228" s="78">
        <f t="shared" si="176"/>
        <v>-2596000</v>
      </c>
      <c r="Q228" s="76">
        <f t="shared" si="176"/>
        <v>19318000</v>
      </c>
      <c r="R228" s="76">
        <f t="shared" si="176"/>
        <v>10119000</v>
      </c>
      <c r="S228" s="76">
        <f t="shared" si="176"/>
        <v>9349000</v>
      </c>
      <c r="T228" s="76">
        <f t="shared" si="176"/>
        <v>-4294000</v>
      </c>
      <c r="U228" s="76">
        <f t="shared" si="176"/>
        <v>0</v>
      </c>
      <c r="V228" s="76">
        <f t="shared" si="176"/>
        <v>-196000</v>
      </c>
      <c r="W228" s="76">
        <f t="shared" si="176"/>
        <v>-500000</v>
      </c>
      <c r="X228" s="76">
        <f t="shared" si="176"/>
        <v>-66355657</v>
      </c>
      <c r="Y228" s="80"/>
      <c r="Z228" s="81"/>
      <c r="AA228" s="81"/>
      <c r="AB228" s="81"/>
    </row>
    <row r="229" spans="1:29" s="44" customFormat="1" ht="25.5" customHeight="1" thickBot="1" x14ac:dyDescent="0.45">
      <c r="A229" s="174"/>
      <c r="B229" s="83" t="s">
        <v>54</v>
      </c>
      <c r="C229" s="84">
        <f>IFERROR(C211/C213,0)</f>
        <v>0.94669390347163418</v>
      </c>
      <c r="D229" s="85">
        <f>IFERROR(D212/D213,0)</f>
        <v>1.3230952380952381</v>
      </c>
      <c r="E229" s="84">
        <f t="shared" ref="E229:X229" si="177">IFERROR(E212/E213,0)</f>
        <v>1.0993388429752067</v>
      </c>
      <c r="F229" s="84">
        <f t="shared" si="177"/>
        <v>1.4655882352941176</v>
      </c>
      <c r="G229" s="86">
        <f t="shared" si="177"/>
        <v>0.71818762475049902</v>
      </c>
      <c r="H229" s="84">
        <f t="shared" si="177"/>
        <v>1.4017900186219738</v>
      </c>
      <c r="I229" s="84">
        <f t="shared" si="177"/>
        <v>0.7142198581560284</v>
      </c>
      <c r="J229" s="84">
        <f t="shared" si="177"/>
        <v>0.58757575757575753</v>
      </c>
      <c r="K229" s="84">
        <f t="shared" si="177"/>
        <v>0.52581372549019612</v>
      </c>
      <c r="L229" s="84">
        <f t="shared" si="177"/>
        <v>0.94874213836477983</v>
      </c>
      <c r="M229" s="84">
        <f t="shared" si="177"/>
        <v>0.78661764705882353</v>
      </c>
      <c r="N229" s="84">
        <f t="shared" si="177"/>
        <v>0</v>
      </c>
      <c r="O229" s="84">
        <f t="shared" si="177"/>
        <v>0</v>
      </c>
      <c r="P229" s="86">
        <f t="shared" si="177"/>
        <v>0.62376811594202897</v>
      </c>
      <c r="Q229" s="84">
        <f t="shared" si="177"/>
        <v>2.7403603603603606</v>
      </c>
      <c r="R229" s="84">
        <f t="shared" si="177"/>
        <v>5.8185714285714285</v>
      </c>
      <c r="S229" s="84">
        <f t="shared" si="177"/>
        <v>1.1877309236947791</v>
      </c>
      <c r="T229" s="84">
        <f t="shared" si="177"/>
        <v>0.92937499999999995</v>
      </c>
      <c r="U229" s="84">
        <f t="shared" si="177"/>
        <v>0</v>
      </c>
      <c r="V229" s="84">
        <f t="shared" si="177"/>
        <v>0.60799999999999998</v>
      </c>
      <c r="W229" s="84">
        <f t="shared" si="177"/>
        <v>0</v>
      </c>
      <c r="X229" s="84">
        <f t="shared" si="177"/>
        <v>-3.5139902721088436</v>
      </c>
      <c r="Y229" s="88"/>
      <c r="Z229" s="43"/>
      <c r="AA229" s="43"/>
      <c r="AB229" s="43"/>
    </row>
    <row r="230" spans="1:29" s="20" customFormat="1" ht="25.5" customHeight="1" thickTop="1" x14ac:dyDescent="0.4">
      <c r="A230" s="172" t="s">
        <v>65</v>
      </c>
      <c r="B230" s="89" t="s">
        <v>29</v>
      </c>
      <c r="C230" s="90">
        <f t="shared" ref="C230:C236" si="178">SUM(D230:X230)</f>
        <v>147575400</v>
      </c>
      <c r="D230" s="91">
        <v>7826000</v>
      </c>
      <c r="E230" s="90">
        <v>17509000</v>
      </c>
      <c r="F230" s="92">
        <v>0</v>
      </c>
      <c r="G230" s="93">
        <v>0</v>
      </c>
      <c r="H230" s="92">
        <v>0</v>
      </c>
      <c r="I230" s="90">
        <v>12606400</v>
      </c>
      <c r="J230" s="92">
        <v>0</v>
      </c>
      <c r="K230" s="94">
        <v>13274000</v>
      </c>
      <c r="L230" s="90">
        <v>6790000</v>
      </c>
      <c r="M230" s="90">
        <v>8173000</v>
      </c>
      <c r="N230" s="90">
        <v>0</v>
      </c>
      <c r="O230" s="92"/>
      <c r="P230" s="93">
        <v>0</v>
      </c>
      <c r="Q230" s="94">
        <v>18780000</v>
      </c>
      <c r="R230" s="92"/>
      <c r="S230" s="94">
        <v>32006000</v>
      </c>
      <c r="T230" s="94">
        <v>30611000</v>
      </c>
      <c r="U230" s="92"/>
      <c r="V230" s="92"/>
      <c r="W230" s="92"/>
      <c r="X230" s="92"/>
      <c r="Y230" s="95"/>
      <c r="Z230" s="19"/>
      <c r="AA230" s="19"/>
      <c r="AB230" s="19"/>
    </row>
    <row r="231" spans="1:29" s="20" customFormat="1" ht="25.5" customHeight="1" x14ac:dyDescent="0.4">
      <c r="A231" s="173"/>
      <c r="B231" s="21" t="s">
        <v>30</v>
      </c>
      <c r="C231" s="22">
        <f t="shared" si="178"/>
        <v>58667500</v>
      </c>
      <c r="D231" s="23">
        <v>3800000</v>
      </c>
      <c r="E231" s="22">
        <v>4694000</v>
      </c>
      <c r="F231" s="22">
        <v>1748000</v>
      </c>
      <c r="G231" s="24">
        <v>0</v>
      </c>
      <c r="H231" s="25">
        <v>0</v>
      </c>
      <c r="I231" s="22">
        <v>5752500</v>
      </c>
      <c r="J231" s="25">
        <v>0</v>
      </c>
      <c r="K231" s="25">
        <v>0</v>
      </c>
      <c r="L231" s="22">
        <v>0</v>
      </c>
      <c r="M231" s="22">
        <v>6026000</v>
      </c>
      <c r="N231" s="22">
        <v>89000</v>
      </c>
      <c r="O231" s="25"/>
      <c r="P231" s="29">
        <v>5848000</v>
      </c>
      <c r="Q231" s="26">
        <v>0</v>
      </c>
      <c r="R231" s="25"/>
      <c r="S231" s="26">
        <v>27051000</v>
      </c>
      <c r="T231" s="26">
        <v>3659000</v>
      </c>
      <c r="U231" s="25"/>
      <c r="V231" s="25"/>
      <c r="W231" s="25"/>
      <c r="X231" s="25"/>
      <c r="Y231" s="27"/>
    </row>
    <row r="232" spans="1:29" s="20" customFormat="1" ht="25.5" customHeight="1" x14ac:dyDescent="0.4">
      <c r="A232" s="173"/>
      <c r="B232" s="21" t="s">
        <v>31</v>
      </c>
      <c r="C232" s="22">
        <f t="shared" si="178"/>
        <v>135033000</v>
      </c>
      <c r="D232" s="23">
        <v>3353000</v>
      </c>
      <c r="E232" s="22">
        <v>13803500</v>
      </c>
      <c r="F232" s="22">
        <v>0</v>
      </c>
      <c r="G232" s="28">
        <v>4777000</v>
      </c>
      <c r="H232" s="25">
        <v>0</v>
      </c>
      <c r="I232" s="22">
        <v>0</v>
      </c>
      <c r="J232" s="25">
        <v>0</v>
      </c>
      <c r="K232" s="25">
        <v>0</v>
      </c>
      <c r="L232" s="22">
        <v>7014000</v>
      </c>
      <c r="M232" s="22">
        <v>8116500</v>
      </c>
      <c r="N232" s="22">
        <v>0</v>
      </c>
      <c r="O232" s="25"/>
      <c r="P232" s="29">
        <v>10078000</v>
      </c>
      <c r="Q232" s="26">
        <v>7982000</v>
      </c>
      <c r="R232" s="25"/>
      <c r="S232" s="26">
        <v>49107000</v>
      </c>
      <c r="T232" s="26">
        <v>30802000</v>
      </c>
      <c r="U232" s="25"/>
      <c r="V232" s="25"/>
      <c r="W232" s="25"/>
      <c r="X232" s="25"/>
      <c r="Y232" s="27"/>
      <c r="Z232" s="19">
        <f>IFERROR(#REF!/#REF!-1,0)</f>
        <v>0</v>
      </c>
      <c r="AA232" s="19">
        <f>IFERROR(C232/C231-1,0)</f>
        <v>1.3016661695146374</v>
      </c>
      <c r="AB232" s="19">
        <f>IFERROR(#REF!/#REF!-1,0)</f>
        <v>0</v>
      </c>
    </row>
    <row r="233" spans="1:29" s="20" customFormat="1" ht="25.5" customHeight="1" x14ac:dyDescent="0.4">
      <c r="A233" s="173"/>
      <c r="B233" s="96" t="s">
        <v>56</v>
      </c>
      <c r="C233" s="22">
        <f t="shared" si="178"/>
        <v>197299200</v>
      </c>
      <c r="D233" s="97">
        <v>13938000</v>
      </c>
      <c r="E233" s="98">
        <v>16795000</v>
      </c>
      <c r="F233" s="98">
        <v>0</v>
      </c>
      <c r="G233" s="99">
        <v>11696700</v>
      </c>
      <c r="H233" s="100">
        <v>0</v>
      </c>
      <c r="I233" s="100">
        <v>0</v>
      </c>
      <c r="J233" s="100">
        <v>0</v>
      </c>
      <c r="K233" s="100">
        <v>0</v>
      </c>
      <c r="L233" s="98">
        <v>10791000</v>
      </c>
      <c r="M233" s="98">
        <v>10965500</v>
      </c>
      <c r="N233" s="98">
        <v>416000</v>
      </c>
      <c r="O233" s="100"/>
      <c r="P233" s="101">
        <v>12633000</v>
      </c>
      <c r="Q233" s="102">
        <v>15549000</v>
      </c>
      <c r="R233" s="100"/>
      <c r="S233" s="102">
        <v>55491000</v>
      </c>
      <c r="T233" s="102">
        <v>49024000</v>
      </c>
      <c r="U233" s="100"/>
      <c r="V233" s="100"/>
      <c r="W233" s="100"/>
      <c r="X233" s="100"/>
      <c r="Y233" s="103"/>
      <c r="Z233" s="19"/>
      <c r="AA233" s="19"/>
      <c r="AB233" s="19"/>
    </row>
    <row r="234" spans="1:29" s="44" customFormat="1" ht="25.5" customHeight="1" x14ac:dyDescent="0.4">
      <c r="A234" s="173"/>
      <c r="B234" s="21" t="s">
        <v>33</v>
      </c>
      <c r="C234" s="22">
        <f t="shared" si="178"/>
        <v>181927800</v>
      </c>
      <c r="D234" s="23">
        <v>11954000</v>
      </c>
      <c r="E234" s="22">
        <v>14299000</v>
      </c>
      <c r="F234" s="22">
        <v>0</v>
      </c>
      <c r="G234" s="28">
        <v>9571000</v>
      </c>
      <c r="H234" s="22">
        <v>24074000</v>
      </c>
      <c r="I234" s="25">
        <v>0</v>
      </c>
      <c r="J234" s="25">
        <v>0</v>
      </c>
      <c r="K234" s="104">
        <v>0</v>
      </c>
      <c r="L234" s="22">
        <v>7501000</v>
      </c>
      <c r="M234" s="22">
        <v>5738000</v>
      </c>
      <c r="N234" s="22">
        <v>474000</v>
      </c>
      <c r="O234" s="25"/>
      <c r="P234" s="28">
        <v>11929000</v>
      </c>
      <c r="Q234" s="22">
        <v>0</v>
      </c>
      <c r="R234" s="25"/>
      <c r="S234" s="26">
        <v>51542000</v>
      </c>
      <c r="T234" s="22">
        <v>44005000</v>
      </c>
      <c r="U234" s="25"/>
      <c r="V234" s="25"/>
      <c r="W234" s="25"/>
      <c r="X234" s="22">
        <v>840800</v>
      </c>
      <c r="Y234" s="105"/>
      <c r="Z234" s="43"/>
      <c r="AA234" s="43"/>
      <c r="AB234" s="43"/>
      <c r="AC234" s="20"/>
    </row>
    <row r="235" spans="1:29" s="20" customFormat="1" ht="25.5" customHeight="1" x14ac:dyDescent="0.4">
      <c r="A235" s="173"/>
      <c r="B235" s="30" t="s">
        <v>34</v>
      </c>
      <c r="C235" s="22">
        <f t="shared" si="178"/>
        <v>173078130</v>
      </c>
      <c r="D235" s="32">
        <v>8558000</v>
      </c>
      <c r="E235" s="31">
        <v>12126000</v>
      </c>
      <c r="F235" s="31">
        <v>0</v>
      </c>
      <c r="G235" s="33">
        <v>8157000</v>
      </c>
      <c r="H235" s="31">
        <v>22433000</v>
      </c>
      <c r="I235" s="34">
        <v>0</v>
      </c>
      <c r="J235" s="34">
        <v>0</v>
      </c>
      <c r="K235" s="34"/>
      <c r="L235" s="31">
        <v>7898000</v>
      </c>
      <c r="M235" s="31">
        <v>7467500</v>
      </c>
      <c r="N235" s="31">
        <v>545000</v>
      </c>
      <c r="O235" s="31">
        <v>3252000</v>
      </c>
      <c r="P235" s="33">
        <v>4741000</v>
      </c>
      <c r="Q235" s="34">
        <v>0</v>
      </c>
      <c r="R235" s="34"/>
      <c r="S235" s="35">
        <v>56178000</v>
      </c>
      <c r="T235" s="31">
        <v>36787000</v>
      </c>
      <c r="U235" s="34"/>
      <c r="V235" s="34"/>
      <c r="W235" s="34"/>
      <c r="X235" s="31">
        <v>4935630</v>
      </c>
      <c r="Y235" s="36"/>
      <c r="Z235" s="19"/>
      <c r="AA235" s="19"/>
      <c r="AB235" s="19"/>
    </row>
    <row r="236" spans="1:29" s="20" customFormat="1" ht="25.5" customHeight="1" x14ac:dyDescent="0.4">
      <c r="A236" s="173"/>
      <c r="B236" s="30" t="s">
        <v>57</v>
      </c>
      <c r="C236" s="31">
        <f t="shared" si="178"/>
        <v>374150936</v>
      </c>
      <c r="D236" s="32">
        <v>14718000</v>
      </c>
      <c r="E236" s="31">
        <v>18974000</v>
      </c>
      <c r="F236" s="31">
        <v>5585000</v>
      </c>
      <c r="G236" s="33">
        <v>17230000</v>
      </c>
      <c r="H236" s="31">
        <v>60203000</v>
      </c>
      <c r="I236" s="34">
        <v>0</v>
      </c>
      <c r="J236" s="34">
        <v>0</v>
      </c>
      <c r="K236" s="31">
        <v>7489500</v>
      </c>
      <c r="L236" s="31">
        <v>31856000</v>
      </c>
      <c r="M236" s="31">
        <v>13624000</v>
      </c>
      <c r="N236" s="31">
        <v>458000</v>
      </c>
      <c r="O236" s="31">
        <v>1561000</v>
      </c>
      <c r="P236" s="33">
        <v>8703000</v>
      </c>
      <c r="Q236" s="34">
        <v>0</v>
      </c>
      <c r="R236" s="31">
        <v>5470000</v>
      </c>
      <c r="S236" s="31">
        <v>52396000</v>
      </c>
      <c r="T236" s="31">
        <v>104208000</v>
      </c>
      <c r="U236" s="31">
        <v>29361000</v>
      </c>
      <c r="V236" s="34">
        <v>0</v>
      </c>
      <c r="W236" s="31">
        <v>265000</v>
      </c>
      <c r="X236" s="31">
        <v>2049436</v>
      </c>
      <c r="Y236" s="36"/>
      <c r="Z236" s="19"/>
      <c r="AA236" s="19"/>
      <c r="AB236" s="19"/>
    </row>
    <row r="237" spans="1:29" s="44" customFormat="1" ht="25.5" customHeight="1" x14ac:dyDescent="0.4">
      <c r="A237" s="173"/>
      <c r="B237" s="37" t="s">
        <v>36</v>
      </c>
      <c r="C237" s="38">
        <f t="shared" ref="C237:C238" si="179">SUM(D237:X237)</f>
        <v>0</v>
      </c>
      <c r="D237" s="39"/>
      <c r="E237" s="38"/>
      <c r="F237" s="38"/>
      <c r="G237" s="40"/>
      <c r="H237" s="38"/>
      <c r="I237" s="38"/>
      <c r="J237" s="38"/>
      <c r="K237" s="38"/>
      <c r="L237" s="38"/>
      <c r="M237" s="38"/>
      <c r="N237" s="38"/>
      <c r="O237" s="38"/>
      <c r="P237" s="40"/>
      <c r="Q237" s="38"/>
      <c r="R237" s="38"/>
      <c r="S237" s="38"/>
      <c r="T237" s="38"/>
      <c r="U237" s="38"/>
      <c r="V237" s="38"/>
      <c r="W237" s="38"/>
      <c r="X237" s="38"/>
      <c r="Y237" s="42"/>
      <c r="Z237" s="43"/>
      <c r="AA237" s="43"/>
      <c r="AB237" s="43"/>
    </row>
    <row r="238" spans="1:29" s="44" customFormat="1" ht="25.5" customHeight="1" x14ac:dyDescent="0.4">
      <c r="A238" s="173"/>
      <c r="B238" s="45" t="s">
        <v>37</v>
      </c>
      <c r="C238" s="46">
        <f t="shared" si="179"/>
        <v>472400000</v>
      </c>
      <c r="D238" s="47">
        <f>ROUNDUP(D236*102%,-5)</f>
        <v>15100000</v>
      </c>
      <c r="E238" s="46">
        <f t="shared" ref="E238" si="180">ROUNDUP(E236*102%,-5)</f>
        <v>19400000</v>
      </c>
      <c r="F238" s="46">
        <f>ROUNDUP(F236*102%,-5)</f>
        <v>5700000</v>
      </c>
      <c r="G238" s="48">
        <f>ROUNDUP(G236*104%,-5)</f>
        <v>18000000</v>
      </c>
      <c r="H238" s="46">
        <f>ROUNDUP(H236*105%,-5)</f>
        <v>63300000</v>
      </c>
      <c r="I238" s="50">
        <f>ROUNDUP(I230*102%,-5)</f>
        <v>12900000</v>
      </c>
      <c r="J238" s="50">
        <f>ROUNDUP(I238*70%,-5)</f>
        <v>9100000</v>
      </c>
      <c r="K238" s="46">
        <f>ROUNDUP(K236*102%,-5)</f>
        <v>7700000</v>
      </c>
      <c r="L238" s="46">
        <f>ROUNDUP(L236*102%,-5)</f>
        <v>32500000</v>
      </c>
      <c r="M238" s="50">
        <f>ROUNDUP(M236*200%,-5)</f>
        <v>27300000</v>
      </c>
      <c r="N238" s="46">
        <f t="shared" ref="N238:P238" si="181">ROUNDUP(N236*102%,-5)</f>
        <v>500000</v>
      </c>
      <c r="O238" s="46">
        <f t="shared" si="181"/>
        <v>1600000</v>
      </c>
      <c r="P238" s="48">
        <f t="shared" si="181"/>
        <v>8900000</v>
      </c>
      <c r="Q238" s="50">
        <f>ROUNDUP(U238*50%,-5)</f>
        <v>22100000</v>
      </c>
      <c r="R238" s="50">
        <f>ROUNDUP(R236*120%,-5)</f>
        <v>6600000</v>
      </c>
      <c r="S238" s="50">
        <f>ROUNDUP(S236*130%,-5)</f>
        <v>68200000</v>
      </c>
      <c r="T238" s="46">
        <f>ROUNDUP(T236*102%,-5)</f>
        <v>106300000</v>
      </c>
      <c r="U238" s="50">
        <f>ROUNDUP(U236*150%,-5)</f>
        <v>44100000</v>
      </c>
      <c r="V238" s="50">
        <v>500000</v>
      </c>
      <c r="W238" s="50">
        <f>ROUNDUP(W236*120%,-5)</f>
        <v>400000</v>
      </c>
      <c r="X238" s="46">
        <f>ROUNDUP(X236*105%,-5)</f>
        <v>2200000</v>
      </c>
      <c r="Y238" s="51" t="s">
        <v>38</v>
      </c>
      <c r="Z238" s="43"/>
      <c r="AA238" s="43">
        <f>D238/D230</f>
        <v>1.929465882954255</v>
      </c>
      <c r="AB238" s="43"/>
    </row>
    <row r="239" spans="1:29" s="59" customFormat="1" ht="25.5" customHeight="1" x14ac:dyDescent="0.4">
      <c r="A239" s="173"/>
      <c r="B239" s="12" t="s">
        <v>39</v>
      </c>
      <c r="C239" s="52">
        <f>SUM(D239:X239)</f>
        <v>-147575400</v>
      </c>
      <c r="D239" s="53">
        <f>D237-D230</f>
        <v>-7826000</v>
      </c>
      <c r="E239" s="52">
        <f t="shared" ref="E239:X239" si="182">E237-E230</f>
        <v>-17509000</v>
      </c>
      <c r="F239" s="54">
        <f t="shared" si="182"/>
        <v>0</v>
      </c>
      <c r="G239" s="55">
        <f t="shared" si="182"/>
        <v>0</v>
      </c>
      <c r="H239" s="54">
        <f t="shared" si="182"/>
        <v>0</v>
      </c>
      <c r="I239" s="52">
        <f t="shared" si="182"/>
        <v>-12606400</v>
      </c>
      <c r="J239" s="52">
        <f t="shared" si="182"/>
        <v>0</v>
      </c>
      <c r="K239" s="56">
        <f t="shared" si="182"/>
        <v>-13274000</v>
      </c>
      <c r="L239" s="52">
        <f t="shared" si="182"/>
        <v>-6790000</v>
      </c>
      <c r="M239" s="52">
        <f t="shared" si="182"/>
        <v>-8173000</v>
      </c>
      <c r="N239" s="52">
        <f t="shared" si="182"/>
        <v>0</v>
      </c>
      <c r="O239" s="54">
        <f t="shared" si="182"/>
        <v>0</v>
      </c>
      <c r="P239" s="55">
        <f t="shared" si="182"/>
        <v>0</v>
      </c>
      <c r="Q239" s="56">
        <f t="shared" si="182"/>
        <v>-18780000</v>
      </c>
      <c r="R239" s="54">
        <f t="shared" si="182"/>
        <v>0</v>
      </c>
      <c r="S239" s="56">
        <f t="shared" si="182"/>
        <v>-32006000</v>
      </c>
      <c r="T239" s="56">
        <f t="shared" si="182"/>
        <v>-30611000</v>
      </c>
      <c r="U239" s="54">
        <f t="shared" si="182"/>
        <v>0</v>
      </c>
      <c r="V239" s="54">
        <f t="shared" si="182"/>
        <v>0</v>
      </c>
      <c r="W239" s="54">
        <f t="shared" si="182"/>
        <v>0</v>
      </c>
      <c r="X239" s="54">
        <f t="shared" si="182"/>
        <v>0</v>
      </c>
      <c r="Y239" s="57"/>
      <c r="Z239" s="58"/>
      <c r="AA239" s="58"/>
      <c r="AB239" s="58"/>
    </row>
    <row r="240" spans="1:29" s="20" customFormat="1" ht="25.5" customHeight="1" x14ac:dyDescent="0.4">
      <c r="A240" s="173"/>
      <c r="B240" s="21" t="s">
        <v>40</v>
      </c>
      <c r="C240" s="60">
        <f>IFERROR(C236/C230,0)</f>
        <v>2.5353204937950364</v>
      </c>
      <c r="D240" s="61">
        <f>IFERROR(D237/D230,0)</f>
        <v>0</v>
      </c>
      <c r="E240" s="60">
        <f t="shared" ref="E240:X240" si="183">IFERROR(E237/E230,0)</f>
        <v>0</v>
      </c>
      <c r="F240" s="62">
        <f t="shared" si="183"/>
        <v>0</v>
      </c>
      <c r="G240" s="63">
        <f t="shared" si="183"/>
        <v>0</v>
      </c>
      <c r="H240" s="62">
        <f t="shared" si="183"/>
        <v>0</v>
      </c>
      <c r="I240" s="60">
        <f t="shared" si="183"/>
        <v>0</v>
      </c>
      <c r="J240" s="60">
        <f t="shared" si="183"/>
        <v>0</v>
      </c>
      <c r="K240" s="64">
        <f t="shared" si="183"/>
        <v>0</v>
      </c>
      <c r="L240" s="60">
        <f t="shared" si="183"/>
        <v>0</v>
      </c>
      <c r="M240" s="60">
        <f t="shared" si="183"/>
        <v>0</v>
      </c>
      <c r="N240" s="60">
        <f t="shared" si="183"/>
        <v>0</v>
      </c>
      <c r="O240" s="62">
        <f t="shared" si="183"/>
        <v>0</v>
      </c>
      <c r="P240" s="63">
        <f t="shared" si="183"/>
        <v>0</v>
      </c>
      <c r="Q240" s="64">
        <f t="shared" si="183"/>
        <v>0</v>
      </c>
      <c r="R240" s="62">
        <f t="shared" si="183"/>
        <v>0</v>
      </c>
      <c r="S240" s="64">
        <f t="shared" si="183"/>
        <v>0</v>
      </c>
      <c r="T240" s="64">
        <f t="shared" si="183"/>
        <v>0</v>
      </c>
      <c r="U240" s="62">
        <f t="shared" si="183"/>
        <v>0</v>
      </c>
      <c r="V240" s="62">
        <f t="shared" si="183"/>
        <v>0</v>
      </c>
      <c r="W240" s="62">
        <f t="shared" si="183"/>
        <v>0</v>
      </c>
      <c r="X240" s="62">
        <f t="shared" si="183"/>
        <v>0</v>
      </c>
      <c r="Y240" s="65"/>
      <c r="Z240" s="19"/>
      <c r="AA240" s="19"/>
      <c r="AB240" s="19"/>
    </row>
    <row r="241" spans="1:28" s="59" customFormat="1" ht="25.5" customHeight="1" x14ac:dyDescent="0.4">
      <c r="A241" s="173"/>
      <c r="B241" s="21" t="s">
        <v>41</v>
      </c>
      <c r="C241" s="66">
        <f>SUM(D241:X241)</f>
        <v>-58667500</v>
      </c>
      <c r="D241" s="67">
        <f>D237-D231</f>
        <v>-3800000</v>
      </c>
      <c r="E241" s="66">
        <f t="shared" ref="E241:X241" si="184">E237-E231</f>
        <v>-4694000</v>
      </c>
      <c r="F241" s="66">
        <f t="shared" si="184"/>
        <v>-1748000</v>
      </c>
      <c r="G241" s="68">
        <f t="shared" si="184"/>
        <v>0</v>
      </c>
      <c r="H241" s="69">
        <f t="shared" si="184"/>
        <v>0</v>
      </c>
      <c r="I241" s="66">
        <f t="shared" si="184"/>
        <v>-5752500</v>
      </c>
      <c r="J241" s="69">
        <f t="shared" si="184"/>
        <v>0</v>
      </c>
      <c r="K241" s="70">
        <f t="shared" si="184"/>
        <v>0</v>
      </c>
      <c r="L241" s="66">
        <f t="shared" si="184"/>
        <v>0</v>
      </c>
      <c r="M241" s="66">
        <f t="shared" si="184"/>
        <v>-6026000</v>
      </c>
      <c r="N241" s="66">
        <f t="shared" si="184"/>
        <v>-89000</v>
      </c>
      <c r="O241" s="69">
        <f t="shared" si="184"/>
        <v>0</v>
      </c>
      <c r="P241" s="68">
        <f t="shared" si="184"/>
        <v>-5848000</v>
      </c>
      <c r="Q241" s="70">
        <f t="shared" si="184"/>
        <v>0</v>
      </c>
      <c r="R241" s="69">
        <f t="shared" si="184"/>
        <v>0</v>
      </c>
      <c r="S241" s="70">
        <f t="shared" si="184"/>
        <v>-27051000</v>
      </c>
      <c r="T241" s="70">
        <f t="shared" si="184"/>
        <v>-3659000</v>
      </c>
      <c r="U241" s="69">
        <f t="shared" si="184"/>
        <v>0</v>
      </c>
      <c r="V241" s="69">
        <f t="shared" si="184"/>
        <v>0</v>
      </c>
      <c r="W241" s="69">
        <f t="shared" si="184"/>
        <v>0</v>
      </c>
      <c r="X241" s="69">
        <f t="shared" si="184"/>
        <v>0</v>
      </c>
      <c r="Y241" s="27"/>
      <c r="Z241" s="58"/>
      <c r="AA241" s="58"/>
      <c r="AB241" s="58"/>
    </row>
    <row r="242" spans="1:28" s="20" customFormat="1" ht="25.5" customHeight="1" x14ac:dyDescent="0.4">
      <c r="A242" s="173"/>
      <c r="B242" s="21" t="s">
        <v>42</v>
      </c>
      <c r="C242" s="60">
        <f>IFERROR(C236/C231,0)</f>
        <v>6.3774821834917121</v>
      </c>
      <c r="D242" s="61">
        <f>IFERROR(D237/D231,0)</f>
        <v>0</v>
      </c>
      <c r="E242" s="60">
        <f t="shared" ref="E242:X242" si="185">IFERROR(E237/E231,0)</f>
        <v>0</v>
      </c>
      <c r="F242" s="60">
        <f t="shared" si="185"/>
        <v>0</v>
      </c>
      <c r="G242" s="63">
        <f t="shared" si="185"/>
        <v>0</v>
      </c>
      <c r="H242" s="62">
        <f t="shared" si="185"/>
        <v>0</v>
      </c>
      <c r="I242" s="60">
        <f t="shared" si="185"/>
        <v>0</v>
      </c>
      <c r="J242" s="62">
        <f t="shared" si="185"/>
        <v>0</v>
      </c>
      <c r="K242" s="64">
        <f t="shared" si="185"/>
        <v>0</v>
      </c>
      <c r="L242" s="60">
        <f t="shared" si="185"/>
        <v>0</v>
      </c>
      <c r="M242" s="60">
        <f t="shared" si="185"/>
        <v>0</v>
      </c>
      <c r="N242" s="60">
        <f t="shared" si="185"/>
        <v>0</v>
      </c>
      <c r="O242" s="62">
        <f t="shared" si="185"/>
        <v>0</v>
      </c>
      <c r="P242" s="63">
        <f t="shared" si="185"/>
        <v>0</v>
      </c>
      <c r="Q242" s="64">
        <f t="shared" si="185"/>
        <v>0</v>
      </c>
      <c r="R242" s="62">
        <f t="shared" si="185"/>
        <v>0</v>
      </c>
      <c r="S242" s="64">
        <f t="shared" si="185"/>
        <v>0</v>
      </c>
      <c r="T242" s="64">
        <f t="shared" si="185"/>
        <v>0</v>
      </c>
      <c r="U242" s="62">
        <f t="shared" si="185"/>
        <v>0</v>
      </c>
      <c r="V242" s="62">
        <f t="shared" si="185"/>
        <v>0</v>
      </c>
      <c r="W242" s="62">
        <f t="shared" si="185"/>
        <v>0</v>
      </c>
      <c r="X242" s="62">
        <f t="shared" si="185"/>
        <v>0</v>
      </c>
      <c r="Y242" s="65"/>
      <c r="Z242" s="19"/>
      <c r="AA242" s="19"/>
      <c r="AB242" s="19"/>
    </row>
    <row r="243" spans="1:28" s="59" customFormat="1" ht="25.5" customHeight="1" x14ac:dyDescent="0.4">
      <c r="A243" s="173"/>
      <c r="B243" s="21" t="s">
        <v>43</v>
      </c>
      <c r="C243" s="66">
        <f>SUM(D243:X243)</f>
        <v>-135033000</v>
      </c>
      <c r="D243" s="67">
        <f>D237-D232</f>
        <v>-3353000</v>
      </c>
      <c r="E243" s="66">
        <f t="shared" ref="E243:X243" si="186">E237-E232</f>
        <v>-13803500</v>
      </c>
      <c r="F243" s="66">
        <f t="shared" si="186"/>
        <v>0</v>
      </c>
      <c r="G243" s="71">
        <f t="shared" si="186"/>
        <v>-4777000</v>
      </c>
      <c r="H243" s="69">
        <f t="shared" si="186"/>
        <v>0</v>
      </c>
      <c r="I243" s="66">
        <f t="shared" si="186"/>
        <v>0</v>
      </c>
      <c r="J243" s="69">
        <f t="shared" si="186"/>
        <v>0</v>
      </c>
      <c r="K243" s="25">
        <f t="shared" si="186"/>
        <v>0</v>
      </c>
      <c r="L243" s="66">
        <f t="shared" si="186"/>
        <v>-7014000</v>
      </c>
      <c r="M243" s="66">
        <f t="shared" si="186"/>
        <v>-8116500</v>
      </c>
      <c r="N243" s="66">
        <f t="shared" si="186"/>
        <v>0</v>
      </c>
      <c r="O243" s="69">
        <f t="shared" si="186"/>
        <v>0</v>
      </c>
      <c r="P243" s="72">
        <f t="shared" si="186"/>
        <v>-10078000</v>
      </c>
      <c r="Q243" s="70">
        <f t="shared" si="186"/>
        <v>-7982000</v>
      </c>
      <c r="R243" s="69">
        <f t="shared" si="186"/>
        <v>0</v>
      </c>
      <c r="S243" s="70">
        <f t="shared" si="186"/>
        <v>-49107000</v>
      </c>
      <c r="T243" s="70">
        <f t="shared" si="186"/>
        <v>-30802000</v>
      </c>
      <c r="U243" s="69">
        <f t="shared" si="186"/>
        <v>0</v>
      </c>
      <c r="V243" s="69">
        <f t="shared" si="186"/>
        <v>0</v>
      </c>
      <c r="W243" s="69">
        <f t="shared" si="186"/>
        <v>0</v>
      </c>
      <c r="X243" s="69">
        <f t="shared" si="186"/>
        <v>0</v>
      </c>
      <c r="Y243" s="27"/>
      <c r="Z243" s="58"/>
      <c r="AA243" s="58"/>
      <c r="AB243" s="58"/>
    </row>
    <row r="244" spans="1:28" s="20" customFormat="1" ht="25.5" customHeight="1" x14ac:dyDescent="0.4">
      <c r="A244" s="173"/>
      <c r="B244" s="21" t="s">
        <v>44</v>
      </c>
      <c r="C244" s="60">
        <f>IFERROR(C236/C232,0)</f>
        <v>2.7708111054334865</v>
      </c>
      <c r="D244" s="61">
        <f>IFERROR(D237/D232,0)</f>
        <v>0</v>
      </c>
      <c r="E244" s="60">
        <f t="shared" ref="E244:X244" si="187">IFERROR(E237/E232,0)</f>
        <v>0</v>
      </c>
      <c r="F244" s="60">
        <f t="shared" si="187"/>
        <v>0</v>
      </c>
      <c r="G244" s="73">
        <f t="shared" si="187"/>
        <v>0</v>
      </c>
      <c r="H244" s="62">
        <f t="shared" si="187"/>
        <v>0</v>
      </c>
      <c r="I244" s="60">
        <f t="shared" si="187"/>
        <v>0</v>
      </c>
      <c r="J244" s="62">
        <f t="shared" si="187"/>
        <v>0</v>
      </c>
      <c r="K244" s="62">
        <f t="shared" si="187"/>
        <v>0</v>
      </c>
      <c r="L244" s="60">
        <f t="shared" si="187"/>
        <v>0</v>
      </c>
      <c r="M244" s="60">
        <f t="shared" si="187"/>
        <v>0</v>
      </c>
      <c r="N244" s="60">
        <f t="shared" si="187"/>
        <v>0</v>
      </c>
      <c r="O244" s="62">
        <f t="shared" si="187"/>
        <v>0</v>
      </c>
      <c r="P244" s="74">
        <f t="shared" si="187"/>
        <v>0</v>
      </c>
      <c r="Q244" s="64">
        <f t="shared" si="187"/>
        <v>0</v>
      </c>
      <c r="R244" s="62">
        <f t="shared" si="187"/>
        <v>0</v>
      </c>
      <c r="S244" s="64">
        <f t="shared" si="187"/>
        <v>0</v>
      </c>
      <c r="T244" s="64">
        <f t="shared" si="187"/>
        <v>0</v>
      </c>
      <c r="U244" s="62">
        <f t="shared" si="187"/>
        <v>0</v>
      </c>
      <c r="V244" s="62">
        <f t="shared" si="187"/>
        <v>0</v>
      </c>
      <c r="W244" s="62">
        <f t="shared" si="187"/>
        <v>0</v>
      </c>
      <c r="X244" s="62">
        <f t="shared" si="187"/>
        <v>0</v>
      </c>
      <c r="Y244" s="65"/>
      <c r="Z244" s="19"/>
      <c r="AA244" s="19"/>
      <c r="AB244" s="19"/>
    </row>
    <row r="245" spans="1:28" s="59" customFormat="1" ht="25.5" customHeight="1" x14ac:dyDescent="0.4">
      <c r="A245" s="173"/>
      <c r="B245" s="21" t="s">
        <v>45</v>
      </c>
      <c r="C245" s="66">
        <f>SUM(D245:X245)</f>
        <v>-197299200</v>
      </c>
      <c r="D245" s="67">
        <f>D237-D233</f>
        <v>-13938000</v>
      </c>
      <c r="E245" s="66">
        <f t="shared" ref="E245:X245" si="188">E237-E233</f>
        <v>-16795000</v>
      </c>
      <c r="F245" s="66">
        <f t="shared" si="188"/>
        <v>0</v>
      </c>
      <c r="G245" s="71">
        <f t="shared" si="188"/>
        <v>-11696700</v>
      </c>
      <c r="H245" s="69">
        <f t="shared" si="188"/>
        <v>0</v>
      </c>
      <c r="I245" s="66">
        <f t="shared" si="188"/>
        <v>0</v>
      </c>
      <c r="J245" s="69">
        <f t="shared" si="188"/>
        <v>0</v>
      </c>
      <c r="K245" s="25">
        <f t="shared" si="188"/>
        <v>0</v>
      </c>
      <c r="L245" s="66">
        <f t="shared" si="188"/>
        <v>-10791000</v>
      </c>
      <c r="M245" s="66">
        <f t="shared" si="188"/>
        <v>-10965500</v>
      </c>
      <c r="N245" s="66">
        <f t="shared" si="188"/>
        <v>-416000</v>
      </c>
      <c r="O245" s="69">
        <f t="shared" si="188"/>
        <v>0</v>
      </c>
      <c r="P245" s="72">
        <f t="shared" si="188"/>
        <v>-12633000</v>
      </c>
      <c r="Q245" s="70">
        <f t="shared" si="188"/>
        <v>-15549000</v>
      </c>
      <c r="R245" s="69">
        <f t="shared" si="188"/>
        <v>0</v>
      </c>
      <c r="S245" s="70">
        <f t="shared" si="188"/>
        <v>-55491000</v>
      </c>
      <c r="T245" s="70">
        <f t="shared" si="188"/>
        <v>-49024000</v>
      </c>
      <c r="U245" s="69">
        <f t="shared" si="188"/>
        <v>0</v>
      </c>
      <c r="V245" s="69">
        <f t="shared" si="188"/>
        <v>0</v>
      </c>
      <c r="W245" s="69">
        <f t="shared" si="188"/>
        <v>0</v>
      </c>
      <c r="X245" s="69">
        <f t="shared" si="188"/>
        <v>0</v>
      </c>
      <c r="Y245" s="27"/>
      <c r="Z245" s="58"/>
      <c r="AA245" s="58"/>
      <c r="AB245" s="58"/>
    </row>
    <row r="246" spans="1:28" s="20" customFormat="1" ht="25.5" customHeight="1" x14ac:dyDescent="0.4">
      <c r="A246" s="173"/>
      <c r="B246" s="21" t="s">
        <v>46</v>
      </c>
      <c r="C246" s="60">
        <f>IFERROR(C236/C233,0)</f>
        <v>1.8963631682236928</v>
      </c>
      <c r="D246" s="61">
        <f>IFERROR(D237/D233,0)</f>
        <v>0</v>
      </c>
      <c r="E246" s="60">
        <f t="shared" ref="E246:X246" si="189">IFERROR(E237/E233,0)</f>
        <v>0</v>
      </c>
      <c r="F246" s="60">
        <f t="shared" si="189"/>
        <v>0</v>
      </c>
      <c r="G246" s="73">
        <f t="shared" si="189"/>
        <v>0</v>
      </c>
      <c r="H246" s="62">
        <f t="shared" si="189"/>
        <v>0</v>
      </c>
      <c r="I246" s="60">
        <f t="shared" si="189"/>
        <v>0</v>
      </c>
      <c r="J246" s="62">
        <f t="shared" si="189"/>
        <v>0</v>
      </c>
      <c r="K246" s="62">
        <f t="shared" si="189"/>
        <v>0</v>
      </c>
      <c r="L246" s="60">
        <f t="shared" si="189"/>
        <v>0</v>
      </c>
      <c r="M246" s="60">
        <f t="shared" si="189"/>
        <v>0</v>
      </c>
      <c r="N246" s="60">
        <f t="shared" si="189"/>
        <v>0</v>
      </c>
      <c r="O246" s="62">
        <f t="shared" si="189"/>
        <v>0</v>
      </c>
      <c r="P246" s="74">
        <f t="shared" si="189"/>
        <v>0</v>
      </c>
      <c r="Q246" s="64">
        <f t="shared" si="189"/>
        <v>0</v>
      </c>
      <c r="R246" s="62">
        <f t="shared" si="189"/>
        <v>0</v>
      </c>
      <c r="S246" s="64">
        <f t="shared" si="189"/>
        <v>0</v>
      </c>
      <c r="T246" s="64">
        <f t="shared" si="189"/>
        <v>0</v>
      </c>
      <c r="U246" s="62">
        <f t="shared" si="189"/>
        <v>0</v>
      </c>
      <c r="V246" s="62">
        <f t="shared" si="189"/>
        <v>0</v>
      </c>
      <c r="W246" s="62">
        <f t="shared" si="189"/>
        <v>0</v>
      </c>
      <c r="X246" s="62">
        <f t="shared" si="189"/>
        <v>0</v>
      </c>
      <c r="Y246" s="65"/>
      <c r="Z246" s="19"/>
      <c r="AA246" s="19"/>
      <c r="AB246" s="19"/>
    </row>
    <row r="247" spans="1:28" s="59" customFormat="1" ht="25.5" customHeight="1" x14ac:dyDescent="0.4">
      <c r="A247" s="173"/>
      <c r="B247" s="21" t="s">
        <v>47</v>
      </c>
      <c r="C247" s="66">
        <f>SUM(D247:X247)</f>
        <v>-181927800</v>
      </c>
      <c r="D247" s="67">
        <f>D237-D234</f>
        <v>-11954000</v>
      </c>
      <c r="E247" s="66">
        <f t="shared" ref="E247:X247" si="190">E237-E234</f>
        <v>-14299000</v>
      </c>
      <c r="F247" s="66">
        <f t="shared" si="190"/>
        <v>0</v>
      </c>
      <c r="G247" s="71">
        <f t="shared" si="190"/>
        <v>-9571000</v>
      </c>
      <c r="H247" s="69">
        <f t="shared" si="190"/>
        <v>-24074000</v>
      </c>
      <c r="I247" s="69">
        <f t="shared" si="190"/>
        <v>0</v>
      </c>
      <c r="J247" s="69">
        <f t="shared" si="190"/>
        <v>0</v>
      </c>
      <c r="K247" s="25">
        <f t="shared" si="190"/>
        <v>0</v>
      </c>
      <c r="L247" s="66">
        <f t="shared" si="190"/>
        <v>-7501000</v>
      </c>
      <c r="M247" s="66">
        <f t="shared" si="190"/>
        <v>-5738000</v>
      </c>
      <c r="N247" s="66">
        <f t="shared" si="190"/>
        <v>-474000</v>
      </c>
      <c r="O247" s="69">
        <f t="shared" si="190"/>
        <v>0</v>
      </c>
      <c r="P247" s="72">
        <f t="shared" si="190"/>
        <v>-11929000</v>
      </c>
      <c r="Q247" s="66">
        <f t="shared" si="190"/>
        <v>0</v>
      </c>
      <c r="R247" s="69">
        <f t="shared" si="190"/>
        <v>0</v>
      </c>
      <c r="S247" s="70">
        <f t="shared" si="190"/>
        <v>-51542000</v>
      </c>
      <c r="T247" s="66">
        <f t="shared" si="190"/>
        <v>-44005000</v>
      </c>
      <c r="U247" s="69">
        <f t="shared" si="190"/>
        <v>0</v>
      </c>
      <c r="V247" s="69">
        <f t="shared" si="190"/>
        <v>0</v>
      </c>
      <c r="W247" s="69">
        <f t="shared" si="190"/>
        <v>0</v>
      </c>
      <c r="X247" s="69">
        <f t="shared" si="190"/>
        <v>-840800</v>
      </c>
      <c r="Y247" s="27"/>
      <c r="Z247" s="58"/>
      <c r="AA247" s="58"/>
      <c r="AB247" s="58"/>
    </row>
    <row r="248" spans="1:28" s="20" customFormat="1" ht="25.5" customHeight="1" x14ac:dyDescent="0.4">
      <c r="A248" s="173"/>
      <c r="B248" s="21" t="s">
        <v>48</v>
      </c>
      <c r="C248" s="60">
        <f>IFERROR(C236/C234,0)</f>
        <v>2.0565902297504834</v>
      </c>
      <c r="D248" s="61">
        <f>IFERROR(D237/D234,0)</f>
        <v>0</v>
      </c>
      <c r="E248" s="60">
        <f t="shared" ref="E248:X248" si="191">IFERROR(E237/E234,0)</f>
        <v>0</v>
      </c>
      <c r="F248" s="60">
        <f t="shared" si="191"/>
        <v>0</v>
      </c>
      <c r="G248" s="73">
        <f t="shared" si="191"/>
        <v>0</v>
      </c>
      <c r="H248" s="62">
        <f t="shared" si="191"/>
        <v>0</v>
      </c>
      <c r="I248" s="62">
        <f t="shared" si="191"/>
        <v>0</v>
      </c>
      <c r="J248" s="62">
        <f t="shared" si="191"/>
        <v>0</v>
      </c>
      <c r="K248" s="62">
        <f t="shared" si="191"/>
        <v>0</v>
      </c>
      <c r="L248" s="60">
        <f t="shared" si="191"/>
        <v>0</v>
      </c>
      <c r="M248" s="60">
        <f t="shared" si="191"/>
        <v>0</v>
      </c>
      <c r="N248" s="60">
        <f t="shared" si="191"/>
        <v>0</v>
      </c>
      <c r="O248" s="62">
        <f t="shared" si="191"/>
        <v>0</v>
      </c>
      <c r="P248" s="74">
        <f t="shared" si="191"/>
        <v>0</v>
      </c>
      <c r="Q248" s="60">
        <f t="shared" si="191"/>
        <v>0</v>
      </c>
      <c r="R248" s="62">
        <f t="shared" si="191"/>
        <v>0</v>
      </c>
      <c r="S248" s="64">
        <f t="shared" si="191"/>
        <v>0</v>
      </c>
      <c r="T248" s="60">
        <f t="shared" si="191"/>
        <v>0</v>
      </c>
      <c r="U248" s="62">
        <f t="shared" si="191"/>
        <v>0</v>
      </c>
      <c r="V248" s="62">
        <f t="shared" si="191"/>
        <v>0</v>
      </c>
      <c r="W248" s="62">
        <f t="shared" si="191"/>
        <v>0</v>
      </c>
      <c r="X248" s="62">
        <f t="shared" si="191"/>
        <v>0</v>
      </c>
      <c r="Y248" s="65"/>
      <c r="Z248" s="19"/>
      <c r="AA248" s="19"/>
      <c r="AB248" s="19"/>
    </row>
    <row r="249" spans="1:28" s="20" customFormat="1" ht="25.5" customHeight="1" x14ac:dyDescent="0.4">
      <c r="A249" s="173"/>
      <c r="B249" s="21" t="s">
        <v>49</v>
      </c>
      <c r="C249" s="66">
        <f>SUM(D249:X249)</f>
        <v>-173078130</v>
      </c>
      <c r="D249" s="67">
        <f>D237-D235</f>
        <v>-8558000</v>
      </c>
      <c r="E249" s="66">
        <f t="shared" ref="E249:X249" si="192">E237-E235</f>
        <v>-12126000</v>
      </c>
      <c r="F249" s="66">
        <f t="shared" si="192"/>
        <v>0</v>
      </c>
      <c r="G249" s="71">
        <f t="shared" si="192"/>
        <v>-8157000</v>
      </c>
      <c r="H249" s="66">
        <f t="shared" si="192"/>
        <v>-22433000</v>
      </c>
      <c r="I249" s="69">
        <f t="shared" si="192"/>
        <v>0</v>
      </c>
      <c r="J249" s="69">
        <f t="shared" si="192"/>
        <v>0</v>
      </c>
      <c r="K249" s="25">
        <f t="shared" si="192"/>
        <v>0</v>
      </c>
      <c r="L249" s="66">
        <f t="shared" si="192"/>
        <v>-7898000</v>
      </c>
      <c r="M249" s="66">
        <f t="shared" si="192"/>
        <v>-7467500</v>
      </c>
      <c r="N249" s="66">
        <f t="shared" si="192"/>
        <v>-545000</v>
      </c>
      <c r="O249" s="69">
        <f t="shared" si="192"/>
        <v>-3252000</v>
      </c>
      <c r="P249" s="71">
        <f t="shared" si="192"/>
        <v>-4741000</v>
      </c>
      <c r="Q249" s="69">
        <f t="shared" si="192"/>
        <v>0</v>
      </c>
      <c r="R249" s="69">
        <f t="shared" si="192"/>
        <v>0</v>
      </c>
      <c r="S249" s="70">
        <f t="shared" si="192"/>
        <v>-56178000</v>
      </c>
      <c r="T249" s="66">
        <f t="shared" si="192"/>
        <v>-36787000</v>
      </c>
      <c r="U249" s="69">
        <f t="shared" si="192"/>
        <v>0</v>
      </c>
      <c r="V249" s="69">
        <f t="shared" si="192"/>
        <v>0</v>
      </c>
      <c r="W249" s="69">
        <f t="shared" si="192"/>
        <v>0</v>
      </c>
      <c r="X249" s="66">
        <f t="shared" si="192"/>
        <v>-4935630</v>
      </c>
      <c r="Y249" s="27"/>
      <c r="Z249" s="19"/>
      <c r="AA249" s="19"/>
      <c r="AB249" s="19"/>
    </row>
    <row r="250" spans="1:28" s="20" customFormat="1" ht="25.5" customHeight="1" x14ac:dyDescent="0.4">
      <c r="A250" s="173"/>
      <c r="B250" s="21" t="s">
        <v>50</v>
      </c>
      <c r="C250" s="60">
        <f>IFERROR(C236/C235,0)</f>
        <v>2.1617458889808896</v>
      </c>
      <c r="D250" s="61">
        <f>IFERROR(D237/D235,0)</f>
        <v>0</v>
      </c>
      <c r="E250" s="60">
        <f t="shared" ref="E250:X250" si="193">IFERROR(E237/E235,0)</f>
        <v>0</v>
      </c>
      <c r="F250" s="60">
        <f t="shared" si="193"/>
        <v>0</v>
      </c>
      <c r="G250" s="73">
        <f t="shared" si="193"/>
        <v>0</v>
      </c>
      <c r="H250" s="60">
        <f t="shared" si="193"/>
        <v>0</v>
      </c>
      <c r="I250" s="62">
        <f t="shared" si="193"/>
        <v>0</v>
      </c>
      <c r="J250" s="62">
        <f t="shared" si="193"/>
        <v>0</v>
      </c>
      <c r="K250" s="62">
        <f t="shared" si="193"/>
        <v>0</v>
      </c>
      <c r="L250" s="60">
        <f t="shared" si="193"/>
        <v>0</v>
      </c>
      <c r="M250" s="60">
        <f t="shared" si="193"/>
        <v>0</v>
      </c>
      <c r="N250" s="60">
        <f t="shared" si="193"/>
        <v>0</v>
      </c>
      <c r="O250" s="62">
        <f t="shared" si="193"/>
        <v>0</v>
      </c>
      <c r="P250" s="73">
        <f t="shared" si="193"/>
        <v>0</v>
      </c>
      <c r="Q250" s="62">
        <f t="shared" si="193"/>
        <v>0</v>
      </c>
      <c r="R250" s="62">
        <f t="shared" si="193"/>
        <v>0</v>
      </c>
      <c r="S250" s="64">
        <f t="shared" si="193"/>
        <v>0</v>
      </c>
      <c r="T250" s="60">
        <f t="shared" si="193"/>
        <v>0</v>
      </c>
      <c r="U250" s="62">
        <f t="shared" si="193"/>
        <v>0</v>
      </c>
      <c r="V250" s="62">
        <f t="shared" si="193"/>
        <v>0</v>
      </c>
      <c r="W250" s="62">
        <f t="shared" si="193"/>
        <v>0</v>
      </c>
      <c r="X250" s="60">
        <f t="shared" si="193"/>
        <v>0</v>
      </c>
      <c r="Y250" s="65"/>
      <c r="Z250" s="19"/>
      <c r="AA250" s="19"/>
      <c r="AB250" s="19"/>
    </row>
    <row r="251" spans="1:28" s="20" customFormat="1" ht="25.5" customHeight="1" x14ac:dyDescent="0.4">
      <c r="A251" s="173"/>
      <c r="B251" s="21" t="s">
        <v>51</v>
      </c>
      <c r="C251" s="66">
        <f>SUM(D251:X251)</f>
        <v>-374150936</v>
      </c>
      <c r="D251" s="67">
        <f>D237-D236</f>
        <v>-14718000</v>
      </c>
      <c r="E251" s="66">
        <f t="shared" ref="E251:X251" si="194">E237-E236</f>
        <v>-18974000</v>
      </c>
      <c r="F251" s="66">
        <f t="shared" si="194"/>
        <v>-5585000</v>
      </c>
      <c r="G251" s="71">
        <f t="shared" si="194"/>
        <v>-17230000</v>
      </c>
      <c r="H251" s="66">
        <f t="shared" si="194"/>
        <v>-60203000</v>
      </c>
      <c r="I251" s="69">
        <f t="shared" si="194"/>
        <v>0</v>
      </c>
      <c r="J251" s="69">
        <f t="shared" si="194"/>
        <v>0</v>
      </c>
      <c r="K251" s="22">
        <f t="shared" si="194"/>
        <v>-7489500</v>
      </c>
      <c r="L251" s="66">
        <f t="shared" si="194"/>
        <v>-31856000</v>
      </c>
      <c r="M251" s="66">
        <f t="shared" si="194"/>
        <v>-13624000</v>
      </c>
      <c r="N251" s="66">
        <f t="shared" si="194"/>
        <v>-458000</v>
      </c>
      <c r="O251" s="69">
        <f t="shared" si="194"/>
        <v>-1561000</v>
      </c>
      <c r="P251" s="71">
        <f t="shared" si="194"/>
        <v>-8703000</v>
      </c>
      <c r="Q251" s="69">
        <f t="shared" si="194"/>
        <v>0</v>
      </c>
      <c r="R251" s="66">
        <f t="shared" si="194"/>
        <v>-5470000</v>
      </c>
      <c r="S251" s="66">
        <f t="shared" si="194"/>
        <v>-52396000</v>
      </c>
      <c r="T251" s="66">
        <f t="shared" si="194"/>
        <v>-104208000</v>
      </c>
      <c r="U251" s="66">
        <f t="shared" si="194"/>
        <v>-29361000</v>
      </c>
      <c r="V251" s="69">
        <f t="shared" si="194"/>
        <v>0</v>
      </c>
      <c r="W251" s="66">
        <f t="shared" si="194"/>
        <v>-265000</v>
      </c>
      <c r="X251" s="66">
        <f t="shared" si="194"/>
        <v>-2049436</v>
      </c>
      <c r="Y251" s="27"/>
      <c r="Z251" s="19"/>
      <c r="AA251" s="19"/>
      <c r="AB251" s="19"/>
    </row>
    <row r="252" spans="1:28" s="20" customFormat="1" ht="25.5" customHeight="1" x14ac:dyDescent="0.4">
      <c r="A252" s="173"/>
      <c r="B252" s="21" t="s">
        <v>52</v>
      </c>
      <c r="C252" s="60">
        <f>IFERROR(C238/C237,0)</f>
        <v>0</v>
      </c>
      <c r="D252" s="61">
        <f>IFERROR(D237/D236,0)</f>
        <v>0</v>
      </c>
      <c r="E252" s="60">
        <f t="shared" ref="E252:X252" si="195">IFERROR(E237/E236,0)</f>
        <v>0</v>
      </c>
      <c r="F252" s="60">
        <f t="shared" si="195"/>
        <v>0</v>
      </c>
      <c r="G252" s="73">
        <f t="shared" si="195"/>
        <v>0</v>
      </c>
      <c r="H252" s="60">
        <f t="shared" si="195"/>
        <v>0</v>
      </c>
      <c r="I252" s="62">
        <f t="shared" si="195"/>
        <v>0</v>
      </c>
      <c r="J252" s="62">
        <f t="shared" si="195"/>
        <v>0</v>
      </c>
      <c r="K252" s="60">
        <f t="shared" si="195"/>
        <v>0</v>
      </c>
      <c r="L252" s="60">
        <f t="shared" si="195"/>
        <v>0</v>
      </c>
      <c r="M252" s="60">
        <f t="shared" si="195"/>
        <v>0</v>
      </c>
      <c r="N252" s="60">
        <f t="shared" si="195"/>
        <v>0</v>
      </c>
      <c r="O252" s="62">
        <f t="shared" si="195"/>
        <v>0</v>
      </c>
      <c r="P252" s="73">
        <f t="shared" si="195"/>
        <v>0</v>
      </c>
      <c r="Q252" s="62">
        <f t="shared" si="195"/>
        <v>0</v>
      </c>
      <c r="R252" s="60">
        <f t="shared" si="195"/>
        <v>0</v>
      </c>
      <c r="S252" s="60">
        <f t="shared" si="195"/>
        <v>0</v>
      </c>
      <c r="T252" s="60">
        <f t="shared" si="195"/>
        <v>0</v>
      </c>
      <c r="U252" s="60">
        <f t="shared" si="195"/>
        <v>0</v>
      </c>
      <c r="V252" s="62">
        <f t="shared" si="195"/>
        <v>0</v>
      </c>
      <c r="W252" s="60">
        <f t="shared" si="195"/>
        <v>0</v>
      </c>
      <c r="X252" s="60">
        <f t="shared" si="195"/>
        <v>0</v>
      </c>
      <c r="Y252" s="65"/>
      <c r="Z252" s="19"/>
      <c r="AA252" s="19"/>
      <c r="AB252" s="19"/>
    </row>
    <row r="253" spans="1:28" s="82" customFormat="1" ht="25.5" customHeight="1" x14ac:dyDescent="0.4">
      <c r="A253" s="173"/>
      <c r="B253" s="75" t="s">
        <v>53</v>
      </c>
      <c r="C253" s="76">
        <f>SUM(D253:X253)</f>
        <v>-472400000</v>
      </c>
      <c r="D253" s="77">
        <f>D237-D238</f>
        <v>-15100000</v>
      </c>
      <c r="E253" s="76">
        <f t="shared" ref="E253:X253" si="196">E237-E238</f>
        <v>-19400000</v>
      </c>
      <c r="F253" s="76">
        <f t="shared" si="196"/>
        <v>-5700000</v>
      </c>
      <c r="G253" s="78">
        <f t="shared" si="196"/>
        <v>-18000000</v>
      </c>
      <c r="H253" s="76">
        <f t="shared" si="196"/>
        <v>-63300000</v>
      </c>
      <c r="I253" s="76">
        <f t="shared" si="196"/>
        <v>-12900000</v>
      </c>
      <c r="J253" s="76">
        <f t="shared" si="196"/>
        <v>-9100000</v>
      </c>
      <c r="K253" s="76">
        <f t="shared" si="196"/>
        <v>-7700000</v>
      </c>
      <c r="L253" s="76">
        <f t="shared" si="196"/>
        <v>-32500000</v>
      </c>
      <c r="M253" s="76">
        <f t="shared" si="196"/>
        <v>-27300000</v>
      </c>
      <c r="N253" s="76">
        <f t="shared" si="196"/>
        <v>-500000</v>
      </c>
      <c r="O253" s="76">
        <f t="shared" si="196"/>
        <v>-1600000</v>
      </c>
      <c r="P253" s="78">
        <f t="shared" si="196"/>
        <v>-8900000</v>
      </c>
      <c r="Q253" s="76">
        <f t="shared" si="196"/>
        <v>-22100000</v>
      </c>
      <c r="R253" s="76">
        <f t="shared" si="196"/>
        <v>-6600000</v>
      </c>
      <c r="S253" s="76">
        <f t="shared" si="196"/>
        <v>-68200000</v>
      </c>
      <c r="T253" s="76">
        <f t="shared" si="196"/>
        <v>-106300000</v>
      </c>
      <c r="U253" s="76">
        <f t="shared" si="196"/>
        <v>-44100000</v>
      </c>
      <c r="V253" s="76">
        <f t="shared" si="196"/>
        <v>-500000</v>
      </c>
      <c r="W253" s="76">
        <f t="shared" si="196"/>
        <v>-400000</v>
      </c>
      <c r="X253" s="76">
        <f t="shared" si="196"/>
        <v>-2200000</v>
      </c>
      <c r="Y253" s="80"/>
      <c r="Z253" s="81"/>
      <c r="AA253" s="81"/>
      <c r="AB253" s="81"/>
    </row>
    <row r="254" spans="1:28" s="44" customFormat="1" ht="25.5" customHeight="1" thickBot="1" x14ac:dyDescent="0.45">
      <c r="A254" s="174"/>
      <c r="B254" s="83" t="s">
        <v>54</v>
      </c>
      <c r="C254" s="84">
        <f>IFERROR(C236/C238,0)</f>
        <v>0.79202145639288735</v>
      </c>
      <c r="D254" s="85">
        <f>IFERROR(D237/D238,0)</f>
        <v>0</v>
      </c>
      <c r="E254" s="84">
        <f t="shared" ref="E254:X254" si="197">IFERROR(E237/E238,0)</f>
        <v>0</v>
      </c>
      <c r="F254" s="84">
        <f t="shared" si="197"/>
        <v>0</v>
      </c>
      <c r="G254" s="86">
        <f t="shared" si="197"/>
        <v>0</v>
      </c>
      <c r="H254" s="84">
        <f t="shared" si="197"/>
        <v>0</v>
      </c>
      <c r="I254" s="84">
        <f t="shared" si="197"/>
        <v>0</v>
      </c>
      <c r="J254" s="84">
        <f t="shared" si="197"/>
        <v>0</v>
      </c>
      <c r="K254" s="84">
        <f t="shared" si="197"/>
        <v>0</v>
      </c>
      <c r="L254" s="84">
        <f t="shared" si="197"/>
        <v>0</v>
      </c>
      <c r="M254" s="84">
        <f t="shared" si="197"/>
        <v>0</v>
      </c>
      <c r="N254" s="84">
        <f t="shared" si="197"/>
        <v>0</v>
      </c>
      <c r="O254" s="84">
        <f t="shared" si="197"/>
        <v>0</v>
      </c>
      <c r="P254" s="86">
        <f t="shared" si="197"/>
        <v>0</v>
      </c>
      <c r="Q254" s="84">
        <f t="shared" si="197"/>
        <v>0</v>
      </c>
      <c r="R254" s="84">
        <f t="shared" si="197"/>
        <v>0</v>
      </c>
      <c r="S254" s="84">
        <f t="shared" si="197"/>
        <v>0</v>
      </c>
      <c r="T254" s="84">
        <f t="shared" si="197"/>
        <v>0</v>
      </c>
      <c r="U254" s="84">
        <f t="shared" si="197"/>
        <v>0</v>
      </c>
      <c r="V254" s="84">
        <f t="shared" si="197"/>
        <v>0</v>
      </c>
      <c r="W254" s="84">
        <f t="shared" si="197"/>
        <v>0</v>
      </c>
      <c r="X254" s="84">
        <f t="shared" si="197"/>
        <v>0</v>
      </c>
      <c r="Y254" s="88"/>
      <c r="Z254" s="43"/>
      <c r="AA254" s="43"/>
      <c r="AB254" s="43"/>
    </row>
    <row r="255" spans="1:28" s="20" customFormat="1" ht="25.5" customHeight="1" thickTop="1" x14ac:dyDescent="0.4">
      <c r="A255" s="172" t="s">
        <v>66</v>
      </c>
      <c r="B255" s="89" t="s">
        <v>29</v>
      </c>
      <c r="C255" s="90">
        <f t="shared" ref="C255:C261" si="198">SUM(D255:X255)</f>
        <v>152437000</v>
      </c>
      <c r="D255" s="91">
        <v>7666000</v>
      </c>
      <c r="E255" s="90">
        <v>20048500</v>
      </c>
      <c r="F255" s="92">
        <v>0</v>
      </c>
      <c r="G255" s="93">
        <v>0</v>
      </c>
      <c r="H255" s="92">
        <v>0</v>
      </c>
      <c r="I255" s="90">
        <v>10491500</v>
      </c>
      <c r="J255" s="92">
        <v>0</v>
      </c>
      <c r="K255" s="94">
        <v>15218000</v>
      </c>
      <c r="L255" s="90">
        <v>7355000</v>
      </c>
      <c r="M255" s="90">
        <v>5075000</v>
      </c>
      <c r="N255" s="90">
        <v>0</v>
      </c>
      <c r="O255" s="92"/>
      <c r="P255" s="93">
        <v>0</v>
      </c>
      <c r="Q255" s="94">
        <v>13485000</v>
      </c>
      <c r="R255" s="92"/>
      <c r="S255" s="94">
        <v>39614000</v>
      </c>
      <c r="T255" s="94">
        <v>33484000</v>
      </c>
      <c r="U255" s="92"/>
      <c r="V255" s="92"/>
      <c r="W255" s="92"/>
      <c r="X255" s="92"/>
      <c r="Y255" s="95"/>
      <c r="Z255" s="19"/>
      <c r="AA255" s="19"/>
      <c r="AB255" s="19"/>
    </row>
    <row r="256" spans="1:28" s="20" customFormat="1" ht="25.5" customHeight="1" x14ac:dyDescent="0.4">
      <c r="A256" s="173"/>
      <c r="B256" s="21" t="s">
        <v>30</v>
      </c>
      <c r="C256" s="22">
        <f t="shared" si="198"/>
        <v>59281000</v>
      </c>
      <c r="D256" s="107">
        <v>105000</v>
      </c>
      <c r="E256" s="28">
        <v>0</v>
      </c>
      <c r="F256" s="28">
        <v>583000</v>
      </c>
      <c r="G256" s="24">
        <v>0</v>
      </c>
      <c r="H256" s="25">
        <v>0</v>
      </c>
      <c r="I256" s="28">
        <v>3574000</v>
      </c>
      <c r="J256" s="24">
        <v>0</v>
      </c>
      <c r="K256" s="25">
        <v>0</v>
      </c>
      <c r="L256" s="28">
        <v>0</v>
      </c>
      <c r="M256" s="28">
        <v>4786000</v>
      </c>
      <c r="N256" s="28">
        <v>0</v>
      </c>
      <c r="O256" s="25"/>
      <c r="P256" s="29">
        <v>4801000</v>
      </c>
      <c r="Q256" s="26">
        <v>0</v>
      </c>
      <c r="R256" s="25"/>
      <c r="S256" s="26">
        <v>28804000</v>
      </c>
      <c r="T256" s="26">
        <v>16628000</v>
      </c>
      <c r="U256" s="25"/>
      <c r="V256" s="25"/>
      <c r="W256" s="25"/>
      <c r="X256" s="25"/>
      <c r="Y256" s="27"/>
    </row>
    <row r="257" spans="1:29" s="20" customFormat="1" ht="25.5" customHeight="1" x14ac:dyDescent="0.4">
      <c r="A257" s="173"/>
      <c r="B257" s="21" t="s">
        <v>31</v>
      </c>
      <c r="C257" s="22">
        <f t="shared" si="198"/>
        <v>109805000</v>
      </c>
      <c r="D257" s="23">
        <v>3245000</v>
      </c>
      <c r="E257" s="22">
        <v>7230000</v>
      </c>
      <c r="F257" s="22">
        <v>0</v>
      </c>
      <c r="G257" s="28">
        <v>0</v>
      </c>
      <c r="H257" s="25">
        <v>0</v>
      </c>
      <c r="I257" s="22">
        <v>0</v>
      </c>
      <c r="J257" s="25">
        <v>0</v>
      </c>
      <c r="K257" s="25">
        <v>0</v>
      </c>
      <c r="L257" s="22">
        <v>4726000</v>
      </c>
      <c r="M257" s="22">
        <v>7203000</v>
      </c>
      <c r="N257" s="22">
        <v>0</v>
      </c>
      <c r="O257" s="25"/>
      <c r="P257" s="29">
        <v>2295000</v>
      </c>
      <c r="Q257" s="26">
        <v>0</v>
      </c>
      <c r="R257" s="25"/>
      <c r="S257" s="26">
        <v>53673000</v>
      </c>
      <c r="T257" s="26">
        <v>31433000</v>
      </c>
      <c r="U257" s="25"/>
      <c r="V257" s="25"/>
      <c r="W257" s="25"/>
      <c r="X257" s="25"/>
      <c r="Y257" s="27"/>
      <c r="Z257" s="19">
        <f>IFERROR(#REF!/#REF!-1,0)</f>
        <v>0</v>
      </c>
      <c r="AA257" s="19">
        <f>IFERROR(C257/C256-1,0)</f>
        <v>0.85227981984109569</v>
      </c>
      <c r="AB257" s="19">
        <f>IFERROR(#REF!/#REF!-1,0)</f>
        <v>0</v>
      </c>
    </row>
    <row r="258" spans="1:29" s="20" customFormat="1" ht="25.5" customHeight="1" x14ac:dyDescent="0.4">
      <c r="A258" s="173"/>
      <c r="B258" s="96" t="s">
        <v>56</v>
      </c>
      <c r="C258" s="22">
        <f t="shared" si="198"/>
        <v>146138900</v>
      </c>
      <c r="D258" s="97">
        <v>9023000</v>
      </c>
      <c r="E258" s="98">
        <v>15975000</v>
      </c>
      <c r="F258" s="98">
        <v>0</v>
      </c>
      <c r="G258" s="99">
        <v>9150000</v>
      </c>
      <c r="H258" s="100">
        <v>0</v>
      </c>
      <c r="I258" s="100">
        <v>0</v>
      </c>
      <c r="J258" s="100">
        <v>0</v>
      </c>
      <c r="K258" s="100">
        <v>0</v>
      </c>
      <c r="L258" s="98">
        <v>8670000</v>
      </c>
      <c r="M258" s="98">
        <v>6215000</v>
      </c>
      <c r="N258" s="98">
        <v>155000</v>
      </c>
      <c r="O258" s="100"/>
      <c r="P258" s="101">
        <v>3364000</v>
      </c>
      <c r="Q258" s="98">
        <v>12101900</v>
      </c>
      <c r="R258" s="100"/>
      <c r="S258" s="102">
        <v>41746000</v>
      </c>
      <c r="T258" s="98">
        <v>39739000</v>
      </c>
      <c r="U258" s="100"/>
      <c r="V258" s="100"/>
      <c r="W258" s="100"/>
      <c r="X258" s="100"/>
      <c r="Y258" s="103"/>
      <c r="Z258" s="19"/>
      <c r="AA258" s="19"/>
      <c r="AB258" s="19"/>
    </row>
    <row r="259" spans="1:29" s="44" customFormat="1" ht="25.5" customHeight="1" x14ac:dyDescent="0.4">
      <c r="A259" s="173"/>
      <c r="B259" s="21" t="s">
        <v>33</v>
      </c>
      <c r="C259" s="22">
        <f t="shared" si="198"/>
        <v>164181000</v>
      </c>
      <c r="D259" s="23">
        <v>8929000</v>
      </c>
      <c r="E259" s="22">
        <v>12608000</v>
      </c>
      <c r="F259" s="22">
        <v>0</v>
      </c>
      <c r="G259" s="28">
        <v>5326800</v>
      </c>
      <c r="H259" s="22">
        <v>16181000</v>
      </c>
      <c r="I259" s="25">
        <v>0</v>
      </c>
      <c r="J259" s="25">
        <v>0</v>
      </c>
      <c r="K259" s="25">
        <v>0</v>
      </c>
      <c r="L259" s="22">
        <v>7307000</v>
      </c>
      <c r="M259" s="22">
        <v>2830500</v>
      </c>
      <c r="N259" s="22">
        <v>365000</v>
      </c>
      <c r="O259" s="25"/>
      <c r="P259" s="28">
        <v>2101000</v>
      </c>
      <c r="Q259" s="22">
        <v>0</v>
      </c>
      <c r="R259" s="25"/>
      <c r="S259" s="26">
        <v>59189000</v>
      </c>
      <c r="T259" s="22">
        <v>48310000</v>
      </c>
      <c r="U259" s="25"/>
      <c r="V259" s="25"/>
      <c r="W259" s="25"/>
      <c r="X259" s="22">
        <v>1033700</v>
      </c>
      <c r="Y259" s="27"/>
      <c r="Z259" s="43"/>
      <c r="AA259" s="43"/>
      <c r="AB259" s="43"/>
      <c r="AC259" s="20"/>
    </row>
    <row r="260" spans="1:29" s="20" customFormat="1" ht="25.5" customHeight="1" x14ac:dyDescent="0.4">
      <c r="A260" s="173"/>
      <c r="B260" s="30" t="s">
        <v>34</v>
      </c>
      <c r="C260" s="22">
        <f t="shared" si="198"/>
        <v>154663690</v>
      </c>
      <c r="D260" s="32">
        <v>9679000</v>
      </c>
      <c r="E260" s="31">
        <v>10731000</v>
      </c>
      <c r="F260" s="31">
        <v>0</v>
      </c>
      <c r="G260" s="33">
        <v>5952500</v>
      </c>
      <c r="H260" s="31">
        <v>14529000</v>
      </c>
      <c r="I260" s="34">
        <v>0</v>
      </c>
      <c r="J260" s="34">
        <v>0</v>
      </c>
      <c r="K260" s="34"/>
      <c r="L260" s="31">
        <v>7855000</v>
      </c>
      <c r="M260" s="31">
        <v>4657000</v>
      </c>
      <c r="N260" s="31">
        <v>255000</v>
      </c>
      <c r="O260" s="31">
        <v>457000</v>
      </c>
      <c r="P260" s="33">
        <v>0</v>
      </c>
      <c r="Q260" s="34">
        <v>0</v>
      </c>
      <c r="R260" s="34"/>
      <c r="S260" s="35">
        <v>59017000</v>
      </c>
      <c r="T260" s="31">
        <v>39468000</v>
      </c>
      <c r="U260" s="34"/>
      <c r="V260" s="34"/>
      <c r="W260" s="34"/>
      <c r="X260" s="31">
        <v>2063190</v>
      </c>
      <c r="Y260" s="42"/>
      <c r="Z260" s="19"/>
      <c r="AA260" s="19"/>
      <c r="AB260" s="19"/>
    </row>
    <row r="261" spans="1:29" s="20" customFormat="1" ht="25.5" customHeight="1" x14ac:dyDescent="0.4">
      <c r="A261" s="173"/>
      <c r="B261" s="30" t="s">
        <v>57</v>
      </c>
      <c r="C261" s="31">
        <f t="shared" si="198"/>
        <v>271281258</v>
      </c>
      <c r="D261" s="32">
        <v>9990000</v>
      </c>
      <c r="E261" s="31">
        <v>9567000</v>
      </c>
      <c r="F261" s="31">
        <v>2708000</v>
      </c>
      <c r="G261" s="33">
        <v>6030000</v>
      </c>
      <c r="H261" s="31">
        <v>22107000</v>
      </c>
      <c r="I261" s="34">
        <v>0</v>
      </c>
      <c r="J261" s="34">
        <v>0</v>
      </c>
      <c r="K261" s="31">
        <v>4259000</v>
      </c>
      <c r="L261" s="31">
        <v>23451000</v>
      </c>
      <c r="M261" s="31">
        <v>6351000</v>
      </c>
      <c r="N261" s="31">
        <v>83000</v>
      </c>
      <c r="O261" s="31">
        <v>731000</v>
      </c>
      <c r="P261" s="33">
        <v>318000</v>
      </c>
      <c r="Q261" s="34">
        <v>0</v>
      </c>
      <c r="R261" s="31">
        <v>5564000</v>
      </c>
      <c r="S261" s="31">
        <v>78911000</v>
      </c>
      <c r="T261" s="31">
        <v>71729000</v>
      </c>
      <c r="U261" s="31">
        <v>22141000</v>
      </c>
      <c r="V261" s="34">
        <v>0</v>
      </c>
      <c r="W261" s="31">
        <v>188000</v>
      </c>
      <c r="X261" s="31">
        <v>7153258</v>
      </c>
      <c r="Y261" s="36"/>
      <c r="Z261" s="19"/>
      <c r="AA261" s="19"/>
      <c r="AB261" s="19"/>
    </row>
    <row r="262" spans="1:29" s="44" customFormat="1" ht="25.5" customHeight="1" x14ac:dyDescent="0.4">
      <c r="A262" s="173"/>
      <c r="B262" s="37" t="s">
        <v>36</v>
      </c>
      <c r="C262" s="38">
        <f t="shared" ref="C262:C263" si="199">SUM(D262:X262)</f>
        <v>0</v>
      </c>
      <c r="D262" s="39"/>
      <c r="E262" s="38"/>
      <c r="F262" s="38"/>
      <c r="G262" s="40"/>
      <c r="H262" s="38"/>
      <c r="I262" s="38"/>
      <c r="J262" s="38"/>
      <c r="K262" s="38"/>
      <c r="L262" s="38"/>
      <c r="M262" s="38"/>
      <c r="N262" s="38"/>
      <c r="O262" s="38"/>
      <c r="P262" s="40"/>
      <c r="Q262" s="38"/>
      <c r="R262" s="38"/>
      <c r="S262" s="38"/>
      <c r="T262" s="38"/>
      <c r="U262" s="38"/>
      <c r="V262" s="38"/>
      <c r="W262" s="38"/>
      <c r="X262" s="38"/>
      <c r="Y262" s="42"/>
      <c r="Z262" s="43"/>
      <c r="AA262" s="43"/>
      <c r="AB262" s="43"/>
    </row>
    <row r="263" spans="1:29" s="44" customFormat="1" ht="25.5" customHeight="1" x14ac:dyDescent="0.4">
      <c r="A263" s="173"/>
      <c r="B263" s="45" t="s">
        <v>37</v>
      </c>
      <c r="C263" s="46">
        <f t="shared" si="199"/>
        <v>332100000</v>
      </c>
      <c r="D263" s="47">
        <f>ROUNDUP(D261*102%,-5)</f>
        <v>10200000</v>
      </c>
      <c r="E263" s="46">
        <f t="shared" ref="E263" si="200">ROUNDUP(E261*102%,-5)</f>
        <v>9800000</v>
      </c>
      <c r="F263" s="46">
        <f>ROUNDUP(F261*102%,-5)</f>
        <v>2800000</v>
      </c>
      <c r="G263" s="48">
        <f>ROUNDUP(G261*104%,-5)</f>
        <v>6300000</v>
      </c>
      <c r="H263" s="46">
        <f>ROUNDUP(H261*105%,-5)</f>
        <v>23300000</v>
      </c>
      <c r="I263" s="50">
        <f>ROUNDUP(I255*102%,-5)</f>
        <v>10800000</v>
      </c>
      <c r="J263" s="50">
        <f>ROUNDUP(I263*70%,-5)</f>
        <v>7600000</v>
      </c>
      <c r="K263" s="46">
        <f>ROUNDUP(K261*102%,-5)</f>
        <v>4400000</v>
      </c>
      <c r="L263" s="46">
        <f>ROUNDUP(L261*102%,-5)</f>
        <v>24000000</v>
      </c>
      <c r="M263" s="50">
        <f>ROUNDUP(M261*200%,-5)</f>
        <v>12800000</v>
      </c>
      <c r="N263" s="46">
        <f t="shared" ref="N263:P263" si="201">ROUNDUP(N261*102%,-5)</f>
        <v>100000</v>
      </c>
      <c r="O263" s="46">
        <f t="shared" si="201"/>
        <v>800000</v>
      </c>
      <c r="P263" s="48">
        <f t="shared" si="201"/>
        <v>400000</v>
      </c>
      <c r="Q263" s="50">
        <f>ROUNDUP(U263*50%,-5)</f>
        <v>16700000</v>
      </c>
      <c r="R263" s="50">
        <f>ROUNDUP(R261*120%,-5)</f>
        <v>6700000</v>
      </c>
      <c r="S263" s="46">
        <f>ROUNDUP(S261*102%,-5)</f>
        <v>80500000</v>
      </c>
      <c r="T263" s="46">
        <f>ROUNDUP(T261*102%,-5)</f>
        <v>73200000</v>
      </c>
      <c r="U263" s="46">
        <f>ROUNDUP(U261*150%,-5)</f>
        <v>33300000</v>
      </c>
      <c r="V263" s="50">
        <v>500000</v>
      </c>
      <c r="W263" s="50">
        <f>ROUNDUP(W261*120%,-5)</f>
        <v>300000</v>
      </c>
      <c r="X263" s="46">
        <f>ROUNDUP(X261*105%,-5)</f>
        <v>7600000</v>
      </c>
      <c r="Y263" s="51" t="s">
        <v>38</v>
      </c>
      <c r="Z263" s="43"/>
      <c r="AA263" s="43">
        <f>D263/D255</f>
        <v>1.3305504826506653</v>
      </c>
      <c r="AB263" s="43"/>
    </row>
    <row r="264" spans="1:29" s="59" customFormat="1" ht="25.5" customHeight="1" x14ac:dyDescent="0.4">
      <c r="A264" s="173"/>
      <c r="B264" s="12" t="s">
        <v>39</v>
      </c>
      <c r="C264" s="52">
        <f>SUM(D264:X264)</f>
        <v>-152437000</v>
      </c>
      <c r="D264" s="53">
        <f>D262-D255</f>
        <v>-7666000</v>
      </c>
      <c r="E264" s="52">
        <f t="shared" ref="E264:X264" si="202">E262-E255</f>
        <v>-20048500</v>
      </c>
      <c r="F264" s="54">
        <f t="shared" si="202"/>
        <v>0</v>
      </c>
      <c r="G264" s="55">
        <f t="shared" si="202"/>
        <v>0</v>
      </c>
      <c r="H264" s="54">
        <f t="shared" si="202"/>
        <v>0</v>
      </c>
      <c r="I264" s="52">
        <f t="shared" si="202"/>
        <v>-10491500</v>
      </c>
      <c r="J264" s="52">
        <f t="shared" si="202"/>
        <v>0</v>
      </c>
      <c r="K264" s="56">
        <f t="shared" si="202"/>
        <v>-15218000</v>
      </c>
      <c r="L264" s="52">
        <f t="shared" si="202"/>
        <v>-7355000</v>
      </c>
      <c r="M264" s="52">
        <f t="shared" si="202"/>
        <v>-5075000</v>
      </c>
      <c r="N264" s="52">
        <f t="shared" si="202"/>
        <v>0</v>
      </c>
      <c r="O264" s="54">
        <f t="shared" si="202"/>
        <v>0</v>
      </c>
      <c r="P264" s="55">
        <f t="shared" si="202"/>
        <v>0</v>
      </c>
      <c r="Q264" s="56">
        <f t="shared" si="202"/>
        <v>-13485000</v>
      </c>
      <c r="R264" s="54">
        <f t="shared" si="202"/>
        <v>0</v>
      </c>
      <c r="S264" s="56">
        <f t="shared" si="202"/>
        <v>-39614000</v>
      </c>
      <c r="T264" s="56">
        <f t="shared" si="202"/>
        <v>-33484000</v>
      </c>
      <c r="U264" s="54">
        <f t="shared" si="202"/>
        <v>0</v>
      </c>
      <c r="V264" s="54">
        <f t="shared" si="202"/>
        <v>0</v>
      </c>
      <c r="W264" s="54">
        <f t="shared" si="202"/>
        <v>0</v>
      </c>
      <c r="X264" s="54">
        <f t="shared" si="202"/>
        <v>0</v>
      </c>
      <c r="Y264" s="57"/>
      <c r="Z264" s="58"/>
      <c r="AA264" s="58"/>
      <c r="AB264" s="58"/>
    </row>
    <row r="265" spans="1:29" s="20" customFormat="1" ht="25.5" customHeight="1" x14ac:dyDescent="0.4">
      <c r="A265" s="173"/>
      <c r="B265" s="21" t="s">
        <v>40</v>
      </c>
      <c r="C265" s="60">
        <f>IFERROR(C261/C255,0)</f>
        <v>1.7796286859489494</v>
      </c>
      <c r="D265" s="61">
        <f>IFERROR(D262/D255,0)</f>
        <v>0</v>
      </c>
      <c r="E265" s="60">
        <f t="shared" ref="E265:X265" si="203">IFERROR(E262/E255,0)</f>
        <v>0</v>
      </c>
      <c r="F265" s="62">
        <f t="shared" si="203"/>
        <v>0</v>
      </c>
      <c r="G265" s="63">
        <f t="shared" si="203"/>
        <v>0</v>
      </c>
      <c r="H265" s="62">
        <f t="shared" si="203"/>
        <v>0</v>
      </c>
      <c r="I265" s="60">
        <f t="shared" si="203"/>
        <v>0</v>
      </c>
      <c r="J265" s="60">
        <f t="shared" si="203"/>
        <v>0</v>
      </c>
      <c r="K265" s="64">
        <f t="shared" si="203"/>
        <v>0</v>
      </c>
      <c r="L265" s="60">
        <f t="shared" si="203"/>
        <v>0</v>
      </c>
      <c r="M265" s="60">
        <f t="shared" si="203"/>
        <v>0</v>
      </c>
      <c r="N265" s="60">
        <f t="shared" si="203"/>
        <v>0</v>
      </c>
      <c r="O265" s="62">
        <f t="shared" si="203"/>
        <v>0</v>
      </c>
      <c r="P265" s="63">
        <f t="shared" si="203"/>
        <v>0</v>
      </c>
      <c r="Q265" s="64">
        <f t="shared" si="203"/>
        <v>0</v>
      </c>
      <c r="R265" s="62">
        <f t="shared" si="203"/>
        <v>0</v>
      </c>
      <c r="S265" s="64">
        <f t="shared" si="203"/>
        <v>0</v>
      </c>
      <c r="T265" s="64">
        <f t="shared" si="203"/>
        <v>0</v>
      </c>
      <c r="U265" s="62">
        <f t="shared" si="203"/>
        <v>0</v>
      </c>
      <c r="V265" s="62">
        <f t="shared" si="203"/>
        <v>0</v>
      </c>
      <c r="W265" s="62">
        <f t="shared" si="203"/>
        <v>0</v>
      </c>
      <c r="X265" s="62">
        <f t="shared" si="203"/>
        <v>0</v>
      </c>
      <c r="Y265" s="65"/>
      <c r="Z265" s="19"/>
      <c r="AA265" s="19"/>
      <c r="AB265" s="19"/>
    </row>
    <row r="266" spans="1:29" s="59" customFormat="1" ht="25.5" customHeight="1" x14ac:dyDescent="0.4">
      <c r="A266" s="173"/>
      <c r="B266" s="21" t="s">
        <v>41</v>
      </c>
      <c r="C266" s="66">
        <f>SUM(D266:X266)</f>
        <v>-59281000</v>
      </c>
      <c r="D266" s="67">
        <f>D262-D256</f>
        <v>-105000</v>
      </c>
      <c r="E266" s="66">
        <f t="shared" ref="E266:X266" si="204">E262-E256</f>
        <v>0</v>
      </c>
      <c r="F266" s="66">
        <f t="shared" si="204"/>
        <v>-583000</v>
      </c>
      <c r="G266" s="68">
        <f t="shared" si="204"/>
        <v>0</v>
      </c>
      <c r="H266" s="69">
        <f t="shared" si="204"/>
        <v>0</v>
      </c>
      <c r="I266" s="66">
        <f t="shared" si="204"/>
        <v>-3574000</v>
      </c>
      <c r="J266" s="69">
        <f t="shared" si="204"/>
        <v>0</v>
      </c>
      <c r="K266" s="70">
        <f t="shared" si="204"/>
        <v>0</v>
      </c>
      <c r="L266" s="66">
        <f t="shared" si="204"/>
        <v>0</v>
      </c>
      <c r="M266" s="66">
        <f t="shared" si="204"/>
        <v>-4786000</v>
      </c>
      <c r="N266" s="66">
        <f t="shared" si="204"/>
        <v>0</v>
      </c>
      <c r="O266" s="69">
        <f t="shared" si="204"/>
        <v>0</v>
      </c>
      <c r="P266" s="68">
        <f t="shared" si="204"/>
        <v>-4801000</v>
      </c>
      <c r="Q266" s="70">
        <f t="shared" si="204"/>
        <v>0</v>
      </c>
      <c r="R266" s="69">
        <f t="shared" si="204"/>
        <v>0</v>
      </c>
      <c r="S266" s="70">
        <f t="shared" si="204"/>
        <v>-28804000</v>
      </c>
      <c r="T266" s="70">
        <f t="shared" si="204"/>
        <v>-16628000</v>
      </c>
      <c r="U266" s="69">
        <f t="shared" si="204"/>
        <v>0</v>
      </c>
      <c r="V266" s="69">
        <f t="shared" si="204"/>
        <v>0</v>
      </c>
      <c r="W266" s="69">
        <f t="shared" si="204"/>
        <v>0</v>
      </c>
      <c r="X266" s="69">
        <f t="shared" si="204"/>
        <v>0</v>
      </c>
      <c r="Y266" s="27"/>
      <c r="Z266" s="58"/>
      <c r="AA266" s="58"/>
      <c r="AB266" s="58"/>
    </row>
    <row r="267" spans="1:29" s="20" customFormat="1" ht="25.5" customHeight="1" x14ac:dyDescent="0.4">
      <c r="A267" s="173"/>
      <c r="B267" s="21" t="s">
        <v>42</v>
      </c>
      <c r="C267" s="60">
        <f>IFERROR(C261/C256,0)</f>
        <v>4.576192338185928</v>
      </c>
      <c r="D267" s="61">
        <f>IFERROR(D262/D256,0)</f>
        <v>0</v>
      </c>
      <c r="E267" s="60">
        <f t="shared" ref="E267:X267" si="205">IFERROR(E262/E256,0)</f>
        <v>0</v>
      </c>
      <c r="F267" s="60">
        <f t="shared" si="205"/>
        <v>0</v>
      </c>
      <c r="G267" s="63">
        <f t="shared" si="205"/>
        <v>0</v>
      </c>
      <c r="H267" s="62">
        <f t="shared" si="205"/>
        <v>0</v>
      </c>
      <c r="I267" s="60">
        <f t="shared" si="205"/>
        <v>0</v>
      </c>
      <c r="J267" s="62">
        <f t="shared" si="205"/>
        <v>0</v>
      </c>
      <c r="K267" s="64">
        <f t="shared" si="205"/>
        <v>0</v>
      </c>
      <c r="L267" s="60">
        <f t="shared" si="205"/>
        <v>0</v>
      </c>
      <c r="M267" s="60">
        <f t="shared" si="205"/>
        <v>0</v>
      </c>
      <c r="N267" s="60">
        <f t="shared" si="205"/>
        <v>0</v>
      </c>
      <c r="O267" s="62">
        <f t="shared" si="205"/>
        <v>0</v>
      </c>
      <c r="P267" s="63">
        <f t="shared" si="205"/>
        <v>0</v>
      </c>
      <c r="Q267" s="64">
        <f t="shared" si="205"/>
        <v>0</v>
      </c>
      <c r="R267" s="62">
        <f t="shared" si="205"/>
        <v>0</v>
      </c>
      <c r="S267" s="64">
        <f t="shared" si="205"/>
        <v>0</v>
      </c>
      <c r="T267" s="64">
        <f t="shared" si="205"/>
        <v>0</v>
      </c>
      <c r="U267" s="62">
        <f t="shared" si="205"/>
        <v>0</v>
      </c>
      <c r="V267" s="62">
        <f t="shared" si="205"/>
        <v>0</v>
      </c>
      <c r="W267" s="62">
        <f t="shared" si="205"/>
        <v>0</v>
      </c>
      <c r="X267" s="62">
        <f t="shared" si="205"/>
        <v>0</v>
      </c>
      <c r="Y267" s="65"/>
      <c r="Z267" s="19"/>
      <c r="AA267" s="19"/>
      <c r="AB267" s="19"/>
    </row>
    <row r="268" spans="1:29" s="59" customFormat="1" ht="25.5" customHeight="1" x14ac:dyDescent="0.4">
      <c r="A268" s="173"/>
      <c r="B268" s="21" t="s">
        <v>43</v>
      </c>
      <c r="C268" s="66">
        <f>SUM(D268:X268)</f>
        <v>-109805000</v>
      </c>
      <c r="D268" s="67">
        <f>D262-D257</f>
        <v>-3245000</v>
      </c>
      <c r="E268" s="66">
        <f t="shared" ref="E268:X268" si="206">E262-E257</f>
        <v>-7230000</v>
      </c>
      <c r="F268" s="66">
        <f t="shared" si="206"/>
        <v>0</v>
      </c>
      <c r="G268" s="71">
        <f t="shared" si="206"/>
        <v>0</v>
      </c>
      <c r="H268" s="69">
        <f t="shared" si="206"/>
        <v>0</v>
      </c>
      <c r="I268" s="66">
        <f t="shared" si="206"/>
        <v>0</v>
      </c>
      <c r="J268" s="69">
        <f t="shared" si="206"/>
        <v>0</v>
      </c>
      <c r="K268" s="25">
        <f t="shared" si="206"/>
        <v>0</v>
      </c>
      <c r="L268" s="66">
        <f t="shared" si="206"/>
        <v>-4726000</v>
      </c>
      <c r="M268" s="66">
        <f t="shared" si="206"/>
        <v>-7203000</v>
      </c>
      <c r="N268" s="66">
        <f t="shared" si="206"/>
        <v>0</v>
      </c>
      <c r="O268" s="69">
        <f t="shared" si="206"/>
        <v>0</v>
      </c>
      <c r="P268" s="72">
        <f t="shared" si="206"/>
        <v>-2295000</v>
      </c>
      <c r="Q268" s="70">
        <f t="shared" si="206"/>
        <v>0</v>
      </c>
      <c r="R268" s="69">
        <f t="shared" si="206"/>
        <v>0</v>
      </c>
      <c r="S268" s="70">
        <f t="shared" si="206"/>
        <v>-53673000</v>
      </c>
      <c r="T268" s="70">
        <f t="shared" si="206"/>
        <v>-31433000</v>
      </c>
      <c r="U268" s="69">
        <f t="shared" si="206"/>
        <v>0</v>
      </c>
      <c r="V268" s="69">
        <f t="shared" si="206"/>
        <v>0</v>
      </c>
      <c r="W268" s="69">
        <f t="shared" si="206"/>
        <v>0</v>
      </c>
      <c r="X268" s="69">
        <f t="shared" si="206"/>
        <v>0</v>
      </c>
      <c r="Y268" s="27"/>
      <c r="Z268" s="58"/>
      <c r="AA268" s="58"/>
      <c r="AB268" s="58"/>
    </row>
    <row r="269" spans="1:29" s="20" customFormat="1" ht="25.5" customHeight="1" x14ac:dyDescent="0.4">
      <c r="A269" s="173"/>
      <c r="B269" s="21" t="s">
        <v>44</v>
      </c>
      <c r="C269" s="60">
        <f>IFERROR(C261/C257,0)</f>
        <v>2.4705729065160966</v>
      </c>
      <c r="D269" s="61">
        <f>IFERROR(D262/D257,0)</f>
        <v>0</v>
      </c>
      <c r="E269" s="60">
        <f t="shared" ref="E269:X269" si="207">IFERROR(E262/E257,0)</f>
        <v>0</v>
      </c>
      <c r="F269" s="60">
        <f t="shared" si="207"/>
        <v>0</v>
      </c>
      <c r="G269" s="73">
        <f t="shared" si="207"/>
        <v>0</v>
      </c>
      <c r="H269" s="62">
        <f t="shared" si="207"/>
        <v>0</v>
      </c>
      <c r="I269" s="60">
        <f t="shared" si="207"/>
        <v>0</v>
      </c>
      <c r="J269" s="62">
        <f t="shared" si="207"/>
        <v>0</v>
      </c>
      <c r="K269" s="62">
        <f t="shared" si="207"/>
        <v>0</v>
      </c>
      <c r="L269" s="60">
        <f t="shared" si="207"/>
        <v>0</v>
      </c>
      <c r="M269" s="60">
        <f t="shared" si="207"/>
        <v>0</v>
      </c>
      <c r="N269" s="60">
        <f t="shared" si="207"/>
        <v>0</v>
      </c>
      <c r="O269" s="62">
        <f t="shared" si="207"/>
        <v>0</v>
      </c>
      <c r="P269" s="74">
        <f t="shared" si="207"/>
        <v>0</v>
      </c>
      <c r="Q269" s="64">
        <f t="shared" si="207"/>
        <v>0</v>
      </c>
      <c r="R269" s="62">
        <f t="shared" si="207"/>
        <v>0</v>
      </c>
      <c r="S269" s="64">
        <f t="shared" si="207"/>
        <v>0</v>
      </c>
      <c r="T269" s="64">
        <f t="shared" si="207"/>
        <v>0</v>
      </c>
      <c r="U269" s="62">
        <f t="shared" si="207"/>
        <v>0</v>
      </c>
      <c r="V269" s="62">
        <f t="shared" si="207"/>
        <v>0</v>
      </c>
      <c r="W269" s="62">
        <f t="shared" si="207"/>
        <v>0</v>
      </c>
      <c r="X269" s="62">
        <f t="shared" si="207"/>
        <v>0</v>
      </c>
      <c r="Y269" s="65"/>
      <c r="Z269" s="19"/>
      <c r="AA269" s="19"/>
      <c r="AB269" s="19"/>
    </row>
    <row r="270" spans="1:29" s="59" customFormat="1" ht="25.5" customHeight="1" x14ac:dyDescent="0.4">
      <c r="A270" s="173"/>
      <c r="B270" s="21" t="s">
        <v>45</v>
      </c>
      <c r="C270" s="66">
        <f>SUM(D270:X270)</f>
        <v>-146138900</v>
      </c>
      <c r="D270" s="67">
        <f>D262-D258</f>
        <v>-9023000</v>
      </c>
      <c r="E270" s="66">
        <f t="shared" ref="E270:X270" si="208">E262-E258</f>
        <v>-15975000</v>
      </c>
      <c r="F270" s="66">
        <f t="shared" si="208"/>
        <v>0</v>
      </c>
      <c r="G270" s="71">
        <f t="shared" si="208"/>
        <v>-9150000</v>
      </c>
      <c r="H270" s="69">
        <f t="shared" si="208"/>
        <v>0</v>
      </c>
      <c r="I270" s="66">
        <f t="shared" si="208"/>
        <v>0</v>
      </c>
      <c r="J270" s="69">
        <f t="shared" si="208"/>
        <v>0</v>
      </c>
      <c r="K270" s="25">
        <f t="shared" si="208"/>
        <v>0</v>
      </c>
      <c r="L270" s="66">
        <f t="shared" si="208"/>
        <v>-8670000</v>
      </c>
      <c r="M270" s="66">
        <f t="shared" si="208"/>
        <v>-6215000</v>
      </c>
      <c r="N270" s="66">
        <f t="shared" si="208"/>
        <v>-155000</v>
      </c>
      <c r="O270" s="69">
        <f t="shared" si="208"/>
        <v>0</v>
      </c>
      <c r="P270" s="72">
        <f t="shared" si="208"/>
        <v>-3364000</v>
      </c>
      <c r="Q270" s="70">
        <f t="shared" si="208"/>
        <v>-12101900</v>
      </c>
      <c r="R270" s="69">
        <f t="shared" si="208"/>
        <v>0</v>
      </c>
      <c r="S270" s="70">
        <f t="shared" si="208"/>
        <v>-41746000</v>
      </c>
      <c r="T270" s="70">
        <f t="shared" si="208"/>
        <v>-39739000</v>
      </c>
      <c r="U270" s="69">
        <f t="shared" si="208"/>
        <v>0</v>
      </c>
      <c r="V270" s="69">
        <f t="shared" si="208"/>
        <v>0</v>
      </c>
      <c r="W270" s="69">
        <f t="shared" si="208"/>
        <v>0</v>
      </c>
      <c r="X270" s="69">
        <f t="shared" si="208"/>
        <v>0</v>
      </c>
      <c r="Y270" s="27"/>
      <c r="Z270" s="58"/>
      <c r="AA270" s="58"/>
      <c r="AB270" s="58"/>
    </row>
    <row r="271" spans="1:29" s="20" customFormat="1" ht="25.5" customHeight="1" x14ac:dyDescent="0.4">
      <c r="A271" s="173"/>
      <c r="B271" s="21" t="s">
        <v>46</v>
      </c>
      <c r="C271" s="60">
        <f>IFERROR(C261/C258,0)</f>
        <v>1.8563247567896022</v>
      </c>
      <c r="D271" s="61">
        <f>IFERROR(D262/D258,0)</f>
        <v>0</v>
      </c>
      <c r="E271" s="60">
        <f t="shared" ref="E271:X271" si="209">IFERROR(E262/E258,0)</f>
        <v>0</v>
      </c>
      <c r="F271" s="60">
        <f t="shared" si="209"/>
        <v>0</v>
      </c>
      <c r="G271" s="73">
        <f t="shared" si="209"/>
        <v>0</v>
      </c>
      <c r="H271" s="62">
        <f t="shared" si="209"/>
        <v>0</v>
      </c>
      <c r="I271" s="60">
        <f t="shared" si="209"/>
        <v>0</v>
      </c>
      <c r="J271" s="62">
        <f t="shared" si="209"/>
        <v>0</v>
      </c>
      <c r="K271" s="62">
        <f t="shared" si="209"/>
        <v>0</v>
      </c>
      <c r="L271" s="60">
        <f t="shared" si="209"/>
        <v>0</v>
      </c>
      <c r="M271" s="60">
        <f t="shared" si="209"/>
        <v>0</v>
      </c>
      <c r="N271" s="60">
        <f t="shared" si="209"/>
        <v>0</v>
      </c>
      <c r="O271" s="62">
        <f t="shared" si="209"/>
        <v>0</v>
      </c>
      <c r="P271" s="74">
        <f t="shared" si="209"/>
        <v>0</v>
      </c>
      <c r="Q271" s="64">
        <f t="shared" si="209"/>
        <v>0</v>
      </c>
      <c r="R271" s="62">
        <f t="shared" si="209"/>
        <v>0</v>
      </c>
      <c r="S271" s="64">
        <f t="shared" si="209"/>
        <v>0</v>
      </c>
      <c r="T271" s="64">
        <f t="shared" si="209"/>
        <v>0</v>
      </c>
      <c r="U271" s="62">
        <f t="shared" si="209"/>
        <v>0</v>
      </c>
      <c r="V271" s="62">
        <f t="shared" si="209"/>
        <v>0</v>
      </c>
      <c r="W271" s="62">
        <f t="shared" si="209"/>
        <v>0</v>
      </c>
      <c r="X271" s="62">
        <f t="shared" si="209"/>
        <v>0</v>
      </c>
      <c r="Y271" s="65"/>
      <c r="Z271" s="19"/>
      <c r="AA271" s="19"/>
      <c r="AB271" s="19"/>
    </row>
    <row r="272" spans="1:29" s="59" customFormat="1" ht="25.5" customHeight="1" x14ac:dyDescent="0.4">
      <c r="A272" s="173"/>
      <c r="B272" s="21" t="s">
        <v>47</v>
      </c>
      <c r="C272" s="66">
        <f>SUM(D272:X272)</f>
        <v>-164181000</v>
      </c>
      <c r="D272" s="67">
        <f>D262-D259</f>
        <v>-8929000</v>
      </c>
      <c r="E272" s="66">
        <f t="shared" ref="E272:X272" si="210">E262-E259</f>
        <v>-12608000</v>
      </c>
      <c r="F272" s="66">
        <f t="shared" si="210"/>
        <v>0</v>
      </c>
      <c r="G272" s="71">
        <f t="shared" si="210"/>
        <v>-5326800</v>
      </c>
      <c r="H272" s="69">
        <f t="shared" si="210"/>
        <v>-16181000</v>
      </c>
      <c r="I272" s="69">
        <f t="shared" si="210"/>
        <v>0</v>
      </c>
      <c r="J272" s="69">
        <f t="shared" si="210"/>
        <v>0</v>
      </c>
      <c r="K272" s="25">
        <f t="shared" si="210"/>
        <v>0</v>
      </c>
      <c r="L272" s="66">
        <f t="shared" si="210"/>
        <v>-7307000</v>
      </c>
      <c r="M272" s="66">
        <f t="shared" si="210"/>
        <v>-2830500</v>
      </c>
      <c r="N272" s="66">
        <f t="shared" si="210"/>
        <v>-365000</v>
      </c>
      <c r="O272" s="69">
        <f t="shared" si="210"/>
        <v>0</v>
      </c>
      <c r="P272" s="72">
        <f t="shared" si="210"/>
        <v>-2101000</v>
      </c>
      <c r="Q272" s="66">
        <f t="shared" si="210"/>
        <v>0</v>
      </c>
      <c r="R272" s="69">
        <f t="shared" si="210"/>
        <v>0</v>
      </c>
      <c r="S272" s="70">
        <f t="shared" si="210"/>
        <v>-59189000</v>
      </c>
      <c r="T272" s="66">
        <f t="shared" si="210"/>
        <v>-48310000</v>
      </c>
      <c r="U272" s="69">
        <f t="shared" si="210"/>
        <v>0</v>
      </c>
      <c r="V272" s="69">
        <f t="shared" si="210"/>
        <v>0</v>
      </c>
      <c r="W272" s="69">
        <f t="shared" si="210"/>
        <v>0</v>
      </c>
      <c r="X272" s="69">
        <f t="shared" si="210"/>
        <v>-1033700</v>
      </c>
      <c r="Y272" s="27"/>
      <c r="Z272" s="58"/>
      <c r="AA272" s="58"/>
      <c r="AB272" s="58"/>
    </row>
    <row r="273" spans="1:29" s="20" customFormat="1" ht="25.5" customHeight="1" x14ac:dyDescent="0.4">
      <c r="A273" s="173"/>
      <c r="B273" s="21" t="s">
        <v>48</v>
      </c>
      <c r="C273" s="60">
        <f>IFERROR(C261/C259,0)</f>
        <v>1.6523304036398851</v>
      </c>
      <c r="D273" s="61">
        <f>IFERROR(D262/D259,0)</f>
        <v>0</v>
      </c>
      <c r="E273" s="60">
        <f t="shared" ref="E273:X273" si="211">IFERROR(E262/E259,0)</f>
        <v>0</v>
      </c>
      <c r="F273" s="60">
        <f t="shared" si="211"/>
        <v>0</v>
      </c>
      <c r="G273" s="73">
        <f t="shared" si="211"/>
        <v>0</v>
      </c>
      <c r="H273" s="62">
        <f t="shared" si="211"/>
        <v>0</v>
      </c>
      <c r="I273" s="62">
        <f t="shared" si="211"/>
        <v>0</v>
      </c>
      <c r="J273" s="62">
        <f t="shared" si="211"/>
        <v>0</v>
      </c>
      <c r="K273" s="62">
        <f t="shared" si="211"/>
        <v>0</v>
      </c>
      <c r="L273" s="60">
        <f t="shared" si="211"/>
        <v>0</v>
      </c>
      <c r="M273" s="60">
        <f t="shared" si="211"/>
        <v>0</v>
      </c>
      <c r="N273" s="60">
        <f t="shared" si="211"/>
        <v>0</v>
      </c>
      <c r="O273" s="62">
        <f t="shared" si="211"/>
        <v>0</v>
      </c>
      <c r="P273" s="74">
        <f t="shared" si="211"/>
        <v>0</v>
      </c>
      <c r="Q273" s="60">
        <f t="shared" si="211"/>
        <v>0</v>
      </c>
      <c r="R273" s="62">
        <f t="shared" si="211"/>
        <v>0</v>
      </c>
      <c r="S273" s="64">
        <f t="shared" si="211"/>
        <v>0</v>
      </c>
      <c r="T273" s="60">
        <f t="shared" si="211"/>
        <v>0</v>
      </c>
      <c r="U273" s="62">
        <f t="shared" si="211"/>
        <v>0</v>
      </c>
      <c r="V273" s="62">
        <f t="shared" si="211"/>
        <v>0</v>
      </c>
      <c r="W273" s="62">
        <f t="shared" si="211"/>
        <v>0</v>
      </c>
      <c r="X273" s="62">
        <f t="shared" si="211"/>
        <v>0</v>
      </c>
      <c r="Y273" s="65"/>
      <c r="Z273" s="19"/>
      <c r="AA273" s="19"/>
      <c r="AB273" s="19"/>
    </row>
    <row r="274" spans="1:29" s="20" customFormat="1" ht="25.5" customHeight="1" x14ac:dyDescent="0.4">
      <c r="A274" s="173"/>
      <c r="B274" s="21" t="s">
        <v>49</v>
      </c>
      <c r="C274" s="66">
        <f>SUM(D274:X274)</f>
        <v>-154663690</v>
      </c>
      <c r="D274" s="67">
        <f>D262-D260</f>
        <v>-9679000</v>
      </c>
      <c r="E274" s="66">
        <f t="shared" ref="E274:X274" si="212">E262-E260</f>
        <v>-10731000</v>
      </c>
      <c r="F274" s="66">
        <f t="shared" si="212"/>
        <v>0</v>
      </c>
      <c r="G274" s="71">
        <f t="shared" si="212"/>
        <v>-5952500</v>
      </c>
      <c r="H274" s="66">
        <f t="shared" si="212"/>
        <v>-14529000</v>
      </c>
      <c r="I274" s="69">
        <f t="shared" si="212"/>
        <v>0</v>
      </c>
      <c r="J274" s="69">
        <f t="shared" si="212"/>
        <v>0</v>
      </c>
      <c r="K274" s="25">
        <f t="shared" si="212"/>
        <v>0</v>
      </c>
      <c r="L274" s="66">
        <f t="shared" si="212"/>
        <v>-7855000</v>
      </c>
      <c r="M274" s="66">
        <f t="shared" si="212"/>
        <v>-4657000</v>
      </c>
      <c r="N274" s="66">
        <f t="shared" si="212"/>
        <v>-255000</v>
      </c>
      <c r="O274" s="69">
        <f t="shared" si="212"/>
        <v>-457000</v>
      </c>
      <c r="P274" s="71">
        <f t="shared" si="212"/>
        <v>0</v>
      </c>
      <c r="Q274" s="69">
        <f t="shared" si="212"/>
        <v>0</v>
      </c>
      <c r="R274" s="69">
        <f t="shared" si="212"/>
        <v>0</v>
      </c>
      <c r="S274" s="70">
        <f t="shared" si="212"/>
        <v>-59017000</v>
      </c>
      <c r="T274" s="66">
        <f t="shared" si="212"/>
        <v>-39468000</v>
      </c>
      <c r="U274" s="69">
        <f t="shared" si="212"/>
        <v>0</v>
      </c>
      <c r="V274" s="69">
        <f t="shared" si="212"/>
        <v>0</v>
      </c>
      <c r="W274" s="69">
        <f t="shared" si="212"/>
        <v>0</v>
      </c>
      <c r="X274" s="66">
        <f t="shared" si="212"/>
        <v>-2063190</v>
      </c>
      <c r="Y274" s="27"/>
      <c r="Z274" s="19"/>
      <c r="AA274" s="19"/>
      <c r="AB274" s="19"/>
    </row>
    <row r="275" spans="1:29" s="20" customFormat="1" ht="25.5" customHeight="1" x14ac:dyDescent="0.4">
      <c r="A275" s="173"/>
      <c r="B275" s="21" t="s">
        <v>50</v>
      </c>
      <c r="C275" s="60">
        <f>IFERROR(C261/C260,0)</f>
        <v>1.7540074079442951</v>
      </c>
      <c r="D275" s="61">
        <f>IFERROR(D262/D260,0)</f>
        <v>0</v>
      </c>
      <c r="E275" s="60">
        <f t="shared" ref="E275:X275" si="213">IFERROR(E262/E260,0)</f>
        <v>0</v>
      </c>
      <c r="F275" s="60">
        <f t="shared" si="213"/>
        <v>0</v>
      </c>
      <c r="G275" s="73">
        <f t="shared" si="213"/>
        <v>0</v>
      </c>
      <c r="H275" s="60">
        <f t="shared" si="213"/>
        <v>0</v>
      </c>
      <c r="I275" s="62">
        <f t="shared" si="213"/>
        <v>0</v>
      </c>
      <c r="J275" s="62">
        <f t="shared" si="213"/>
        <v>0</v>
      </c>
      <c r="K275" s="62">
        <f t="shared" si="213"/>
        <v>0</v>
      </c>
      <c r="L275" s="60">
        <f t="shared" si="213"/>
        <v>0</v>
      </c>
      <c r="M275" s="60">
        <f t="shared" si="213"/>
        <v>0</v>
      </c>
      <c r="N275" s="60">
        <f t="shared" si="213"/>
        <v>0</v>
      </c>
      <c r="O275" s="62">
        <f t="shared" si="213"/>
        <v>0</v>
      </c>
      <c r="P275" s="73">
        <f t="shared" si="213"/>
        <v>0</v>
      </c>
      <c r="Q275" s="62">
        <f t="shared" si="213"/>
        <v>0</v>
      </c>
      <c r="R275" s="62">
        <f t="shared" si="213"/>
        <v>0</v>
      </c>
      <c r="S275" s="64">
        <f t="shared" si="213"/>
        <v>0</v>
      </c>
      <c r="T275" s="60">
        <f t="shared" si="213"/>
        <v>0</v>
      </c>
      <c r="U275" s="62">
        <f t="shared" si="213"/>
        <v>0</v>
      </c>
      <c r="V275" s="62">
        <f t="shared" si="213"/>
        <v>0</v>
      </c>
      <c r="W275" s="62">
        <f t="shared" si="213"/>
        <v>0</v>
      </c>
      <c r="X275" s="60">
        <f t="shared" si="213"/>
        <v>0</v>
      </c>
      <c r="Y275" s="65"/>
      <c r="Z275" s="19"/>
      <c r="AA275" s="19"/>
      <c r="AB275" s="19"/>
    </row>
    <row r="276" spans="1:29" s="20" customFormat="1" ht="25.5" customHeight="1" x14ac:dyDescent="0.4">
      <c r="A276" s="173"/>
      <c r="B276" s="21" t="s">
        <v>51</v>
      </c>
      <c r="C276" s="66">
        <f>SUM(D276:X276)</f>
        <v>-271281258</v>
      </c>
      <c r="D276" s="67">
        <f>D262-D261</f>
        <v>-9990000</v>
      </c>
      <c r="E276" s="66">
        <f t="shared" ref="E276:X276" si="214">E262-E261</f>
        <v>-9567000</v>
      </c>
      <c r="F276" s="66">
        <f t="shared" si="214"/>
        <v>-2708000</v>
      </c>
      <c r="G276" s="71">
        <f t="shared" si="214"/>
        <v>-6030000</v>
      </c>
      <c r="H276" s="66">
        <f t="shared" si="214"/>
        <v>-22107000</v>
      </c>
      <c r="I276" s="69">
        <f t="shared" si="214"/>
        <v>0</v>
      </c>
      <c r="J276" s="69">
        <f t="shared" si="214"/>
        <v>0</v>
      </c>
      <c r="K276" s="66">
        <f t="shared" si="214"/>
        <v>-4259000</v>
      </c>
      <c r="L276" s="66">
        <f t="shared" si="214"/>
        <v>-23451000</v>
      </c>
      <c r="M276" s="66">
        <f t="shared" si="214"/>
        <v>-6351000</v>
      </c>
      <c r="N276" s="66">
        <f t="shared" si="214"/>
        <v>-83000</v>
      </c>
      <c r="O276" s="69">
        <f t="shared" si="214"/>
        <v>-731000</v>
      </c>
      <c r="P276" s="71">
        <f t="shared" si="214"/>
        <v>-318000</v>
      </c>
      <c r="Q276" s="69">
        <f t="shared" si="214"/>
        <v>0</v>
      </c>
      <c r="R276" s="66">
        <f t="shared" si="214"/>
        <v>-5564000</v>
      </c>
      <c r="S276" s="66">
        <f t="shared" si="214"/>
        <v>-78911000</v>
      </c>
      <c r="T276" s="66">
        <f t="shared" si="214"/>
        <v>-71729000</v>
      </c>
      <c r="U276" s="66">
        <f t="shared" si="214"/>
        <v>-22141000</v>
      </c>
      <c r="V276" s="69">
        <f t="shared" si="214"/>
        <v>0</v>
      </c>
      <c r="W276" s="66">
        <f t="shared" si="214"/>
        <v>-188000</v>
      </c>
      <c r="X276" s="66">
        <f t="shared" si="214"/>
        <v>-7153258</v>
      </c>
      <c r="Y276" s="27"/>
      <c r="Z276" s="19"/>
      <c r="AA276" s="19"/>
      <c r="AB276" s="19"/>
    </row>
    <row r="277" spans="1:29" s="20" customFormat="1" ht="25.5" customHeight="1" x14ac:dyDescent="0.4">
      <c r="A277" s="173"/>
      <c r="B277" s="21" t="s">
        <v>52</v>
      </c>
      <c r="C277" s="60">
        <f>IFERROR(C263/C262,0)</f>
        <v>0</v>
      </c>
      <c r="D277" s="61">
        <f>IFERROR(D262/D261,0)</f>
        <v>0</v>
      </c>
      <c r="E277" s="60">
        <f t="shared" ref="E277:X277" si="215">IFERROR(E262/E261,0)</f>
        <v>0</v>
      </c>
      <c r="F277" s="60">
        <f t="shared" si="215"/>
        <v>0</v>
      </c>
      <c r="G277" s="73">
        <f t="shared" si="215"/>
        <v>0</v>
      </c>
      <c r="H277" s="60">
        <f t="shared" si="215"/>
        <v>0</v>
      </c>
      <c r="I277" s="62">
        <f t="shared" si="215"/>
        <v>0</v>
      </c>
      <c r="J277" s="62">
        <f t="shared" si="215"/>
        <v>0</v>
      </c>
      <c r="K277" s="60">
        <f t="shared" si="215"/>
        <v>0</v>
      </c>
      <c r="L277" s="60">
        <f t="shared" si="215"/>
        <v>0</v>
      </c>
      <c r="M277" s="60">
        <f t="shared" si="215"/>
        <v>0</v>
      </c>
      <c r="N277" s="60">
        <f t="shared" si="215"/>
        <v>0</v>
      </c>
      <c r="O277" s="62">
        <f t="shared" si="215"/>
        <v>0</v>
      </c>
      <c r="P277" s="73">
        <f t="shared" si="215"/>
        <v>0</v>
      </c>
      <c r="Q277" s="62">
        <f t="shared" si="215"/>
        <v>0</v>
      </c>
      <c r="R277" s="60">
        <f t="shared" si="215"/>
        <v>0</v>
      </c>
      <c r="S277" s="60">
        <f t="shared" si="215"/>
        <v>0</v>
      </c>
      <c r="T277" s="60">
        <f t="shared" si="215"/>
        <v>0</v>
      </c>
      <c r="U277" s="60">
        <f t="shared" si="215"/>
        <v>0</v>
      </c>
      <c r="V277" s="62">
        <f t="shared" si="215"/>
        <v>0</v>
      </c>
      <c r="W277" s="60">
        <f t="shared" si="215"/>
        <v>0</v>
      </c>
      <c r="X277" s="60">
        <f t="shared" si="215"/>
        <v>0</v>
      </c>
      <c r="Y277" s="65"/>
      <c r="Z277" s="19"/>
      <c r="AA277" s="19"/>
      <c r="AB277" s="19"/>
    </row>
    <row r="278" spans="1:29" s="82" customFormat="1" ht="25.5" customHeight="1" x14ac:dyDescent="0.4">
      <c r="A278" s="173"/>
      <c r="B278" s="75" t="s">
        <v>53</v>
      </c>
      <c r="C278" s="76">
        <f>SUM(D278:X278)</f>
        <v>-332100000</v>
      </c>
      <c r="D278" s="77">
        <f>D262-D263</f>
        <v>-10200000</v>
      </c>
      <c r="E278" s="76">
        <f t="shared" ref="E278:X278" si="216">E262-E263</f>
        <v>-9800000</v>
      </c>
      <c r="F278" s="76">
        <f t="shared" si="216"/>
        <v>-2800000</v>
      </c>
      <c r="G278" s="78">
        <f t="shared" si="216"/>
        <v>-6300000</v>
      </c>
      <c r="H278" s="76">
        <f t="shared" si="216"/>
        <v>-23300000</v>
      </c>
      <c r="I278" s="76">
        <f t="shared" si="216"/>
        <v>-10800000</v>
      </c>
      <c r="J278" s="76">
        <f t="shared" si="216"/>
        <v>-7600000</v>
      </c>
      <c r="K278" s="76">
        <f t="shared" si="216"/>
        <v>-4400000</v>
      </c>
      <c r="L278" s="76">
        <f t="shared" si="216"/>
        <v>-24000000</v>
      </c>
      <c r="M278" s="76">
        <f t="shared" si="216"/>
        <v>-12800000</v>
      </c>
      <c r="N278" s="76">
        <f t="shared" si="216"/>
        <v>-100000</v>
      </c>
      <c r="O278" s="76">
        <f t="shared" si="216"/>
        <v>-800000</v>
      </c>
      <c r="P278" s="78">
        <f t="shared" si="216"/>
        <v>-400000</v>
      </c>
      <c r="Q278" s="76">
        <f t="shared" si="216"/>
        <v>-16700000</v>
      </c>
      <c r="R278" s="76">
        <f t="shared" si="216"/>
        <v>-6700000</v>
      </c>
      <c r="S278" s="76">
        <f t="shared" si="216"/>
        <v>-80500000</v>
      </c>
      <c r="T278" s="76">
        <f t="shared" si="216"/>
        <v>-73200000</v>
      </c>
      <c r="U278" s="76">
        <f t="shared" si="216"/>
        <v>-33300000</v>
      </c>
      <c r="V278" s="76">
        <f t="shared" si="216"/>
        <v>-500000</v>
      </c>
      <c r="W278" s="76">
        <f t="shared" si="216"/>
        <v>-300000</v>
      </c>
      <c r="X278" s="76">
        <f t="shared" si="216"/>
        <v>-7600000</v>
      </c>
      <c r="Y278" s="80"/>
      <c r="Z278" s="81"/>
      <c r="AA278" s="81"/>
      <c r="AB278" s="81"/>
    </row>
    <row r="279" spans="1:29" s="44" customFormat="1" ht="25.5" customHeight="1" thickBot="1" x14ac:dyDescent="0.45">
      <c r="A279" s="174"/>
      <c r="B279" s="83" t="s">
        <v>54</v>
      </c>
      <c r="C279" s="84">
        <f>IFERROR(C261/C263,0)</f>
        <v>0.81686617886178858</v>
      </c>
      <c r="D279" s="85">
        <f>IFERROR(D262/D263,0)</f>
        <v>0</v>
      </c>
      <c r="E279" s="84">
        <f t="shared" ref="E279:X279" si="217">IFERROR(E262/E263,0)</f>
        <v>0</v>
      </c>
      <c r="F279" s="84">
        <f t="shared" si="217"/>
        <v>0</v>
      </c>
      <c r="G279" s="86">
        <f t="shared" si="217"/>
        <v>0</v>
      </c>
      <c r="H279" s="84">
        <f t="shared" si="217"/>
        <v>0</v>
      </c>
      <c r="I279" s="84">
        <f t="shared" si="217"/>
        <v>0</v>
      </c>
      <c r="J279" s="84">
        <f t="shared" si="217"/>
        <v>0</v>
      </c>
      <c r="K279" s="84">
        <f t="shared" si="217"/>
        <v>0</v>
      </c>
      <c r="L279" s="84">
        <f t="shared" si="217"/>
        <v>0</v>
      </c>
      <c r="M279" s="84">
        <f t="shared" si="217"/>
        <v>0</v>
      </c>
      <c r="N279" s="84">
        <f t="shared" si="217"/>
        <v>0</v>
      </c>
      <c r="O279" s="84">
        <f t="shared" si="217"/>
        <v>0</v>
      </c>
      <c r="P279" s="86">
        <f t="shared" si="217"/>
        <v>0</v>
      </c>
      <c r="Q279" s="84">
        <f t="shared" si="217"/>
        <v>0</v>
      </c>
      <c r="R279" s="84">
        <f t="shared" si="217"/>
        <v>0</v>
      </c>
      <c r="S279" s="84">
        <f t="shared" si="217"/>
        <v>0</v>
      </c>
      <c r="T279" s="84">
        <f t="shared" si="217"/>
        <v>0</v>
      </c>
      <c r="U279" s="84">
        <f t="shared" si="217"/>
        <v>0</v>
      </c>
      <c r="V279" s="84">
        <f t="shared" si="217"/>
        <v>0</v>
      </c>
      <c r="W279" s="84">
        <f t="shared" si="217"/>
        <v>0</v>
      </c>
      <c r="X279" s="84">
        <f t="shared" si="217"/>
        <v>0</v>
      </c>
      <c r="Y279" s="88"/>
      <c r="Z279" s="43"/>
      <c r="AA279" s="43"/>
      <c r="AB279" s="43"/>
    </row>
    <row r="280" spans="1:29" s="20" customFormat="1" ht="25.5" customHeight="1" thickTop="1" x14ac:dyDescent="0.4">
      <c r="A280" s="172" t="s">
        <v>67</v>
      </c>
      <c r="B280" s="89" t="s">
        <v>29</v>
      </c>
      <c r="C280" s="90">
        <f>SUM(D280:J280,L280:O280,X280)</f>
        <v>103653200</v>
      </c>
      <c r="D280" s="91">
        <v>23370000</v>
      </c>
      <c r="E280" s="90">
        <v>37282500</v>
      </c>
      <c r="F280" s="92">
        <v>0</v>
      </c>
      <c r="G280" s="93">
        <v>0</v>
      </c>
      <c r="H280" s="92">
        <v>0</v>
      </c>
      <c r="I280" s="90">
        <v>19538200</v>
      </c>
      <c r="J280" s="92">
        <v>0</v>
      </c>
      <c r="K280" s="94">
        <v>27533000</v>
      </c>
      <c r="L280" s="90">
        <v>14282000</v>
      </c>
      <c r="M280" s="90">
        <v>9180500</v>
      </c>
      <c r="N280" s="90">
        <v>0</v>
      </c>
      <c r="O280" s="92"/>
      <c r="P280" s="93">
        <v>0</v>
      </c>
      <c r="Q280" s="94">
        <v>21146000</v>
      </c>
      <c r="R280" s="92"/>
      <c r="S280" s="94">
        <v>59077000</v>
      </c>
      <c r="T280" s="94">
        <v>73010000</v>
      </c>
      <c r="U280" s="92"/>
      <c r="V280" s="92"/>
      <c r="W280" s="92"/>
      <c r="X280" s="92"/>
      <c r="Y280" s="95"/>
      <c r="Z280" s="19"/>
      <c r="AA280" s="19"/>
      <c r="AB280" s="19"/>
    </row>
    <row r="281" spans="1:29" s="20" customFormat="1" ht="25.5" customHeight="1" x14ac:dyDescent="0.4">
      <c r="A281" s="173"/>
      <c r="B281" s="21" t="s">
        <v>30</v>
      </c>
      <c r="C281" s="22">
        <f t="shared" ref="C281:C282" si="218">SUM(D281:J281,L281:O281,X281)</f>
        <v>4568000</v>
      </c>
      <c r="D281" s="23">
        <v>0</v>
      </c>
      <c r="E281" s="22">
        <v>0</v>
      </c>
      <c r="F281" s="22">
        <v>0</v>
      </c>
      <c r="G281" s="24">
        <v>0</v>
      </c>
      <c r="H281" s="25">
        <v>0</v>
      </c>
      <c r="I281" s="22">
        <v>0</v>
      </c>
      <c r="J281" s="25">
        <v>0</v>
      </c>
      <c r="K281" s="25">
        <v>0</v>
      </c>
      <c r="L281" s="22">
        <v>745000</v>
      </c>
      <c r="M281" s="22">
        <v>3823000</v>
      </c>
      <c r="N281" s="22">
        <v>0</v>
      </c>
      <c r="O281" s="25"/>
      <c r="P281" s="29">
        <v>221000</v>
      </c>
      <c r="Q281" s="26">
        <v>0</v>
      </c>
      <c r="R281" s="25"/>
      <c r="S281" s="26">
        <v>13151000</v>
      </c>
      <c r="T281" s="26">
        <v>5457000</v>
      </c>
      <c r="U281" s="25"/>
      <c r="V281" s="25"/>
      <c r="W281" s="25"/>
      <c r="X281" s="25"/>
      <c r="Y281" s="27"/>
    </row>
    <row r="282" spans="1:29" s="20" customFormat="1" ht="25.5" customHeight="1" x14ac:dyDescent="0.4">
      <c r="A282" s="173"/>
      <c r="B282" s="21" t="s">
        <v>31</v>
      </c>
      <c r="C282" s="22">
        <f t="shared" si="218"/>
        <v>36128000</v>
      </c>
      <c r="D282" s="23">
        <v>5199000</v>
      </c>
      <c r="E282" s="22">
        <v>4463000</v>
      </c>
      <c r="F282" s="22">
        <v>0</v>
      </c>
      <c r="G282" s="28">
        <v>6047000</v>
      </c>
      <c r="H282" s="25">
        <v>0</v>
      </c>
      <c r="I282" s="22">
        <v>1216000</v>
      </c>
      <c r="J282" s="25">
        <v>0</v>
      </c>
      <c r="K282" s="25">
        <v>0</v>
      </c>
      <c r="L282" s="22">
        <v>10720000</v>
      </c>
      <c r="M282" s="22">
        <v>8141000</v>
      </c>
      <c r="N282" s="22">
        <v>342000</v>
      </c>
      <c r="O282" s="25"/>
      <c r="P282" s="29">
        <v>0</v>
      </c>
      <c r="Q282" s="26">
        <v>9089000</v>
      </c>
      <c r="R282" s="25"/>
      <c r="S282" s="26">
        <v>66042000</v>
      </c>
      <c r="T282" s="26">
        <v>43684952</v>
      </c>
      <c r="U282" s="25"/>
      <c r="V282" s="25"/>
      <c r="W282" s="25"/>
      <c r="X282" s="25"/>
      <c r="Y282" s="27"/>
      <c r="Z282" s="19">
        <f>IFERROR(#REF!/#REF!-1,0)</f>
        <v>0</v>
      </c>
      <c r="AA282" s="19">
        <f>IFERROR(C282/C281-1,0)</f>
        <v>6.9089316987740803</v>
      </c>
      <c r="AB282" s="19">
        <f>IFERROR(#REF!/#REF!-1,0)</f>
        <v>0</v>
      </c>
    </row>
    <row r="283" spans="1:29" s="20" customFormat="1" ht="25.5" customHeight="1" x14ac:dyDescent="0.4">
      <c r="A283" s="173"/>
      <c r="B283" s="96" t="s">
        <v>56</v>
      </c>
      <c r="C283" s="22">
        <f>SUM(D283:J283,L283:O283,T283:X283,Q283)</f>
        <v>200961500</v>
      </c>
      <c r="D283" s="97">
        <v>21243000</v>
      </c>
      <c r="E283" s="98">
        <v>24596000</v>
      </c>
      <c r="F283" s="98">
        <v>0</v>
      </c>
      <c r="G283" s="99">
        <v>21740000</v>
      </c>
      <c r="H283" s="100">
        <v>0</v>
      </c>
      <c r="I283" s="100">
        <v>0</v>
      </c>
      <c r="J283" s="100">
        <v>0</v>
      </c>
      <c r="K283" s="100">
        <v>0</v>
      </c>
      <c r="L283" s="98">
        <v>16894000</v>
      </c>
      <c r="M283" s="98">
        <v>11660500</v>
      </c>
      <c r="N283" s="98">
        <v>253000</v>
      </c>
      <c r="O283" s="100"/>
      <c r="P283" s="101">
        <v>0</v>
      </c>
      <c r="Q283" s="98">
        <v>17070000</v>
      </c>
      <c r="R283" s="100"/>
      <c r="S283" s="102">
        <v>78019000</v>
      </c>
      <c r="T283" s="98">
        <v>87505000</v>
      </c>
      <c r="U283" s="100"/>
      <c r="V283" s="100"/>
      <c r="W283" s="100"/>
      <c r="X283" s="100"/>
      <c r="Y283" s="103"/>
      <c r="Z283" s="19"/>
      <c r="AA283" s="19"/>
      <c r="AB283" s="19"/>
    </row>
    <row r="284" spans="1:29" s="44" customFormat="1" ht="25.5" customHeight="1" x14ac:dyDescent="0.4">
      <c r="A284" s="173"/>
      <c r="B284" s="21" t="s">
        <v>33</v>
      </c>
      <c r="C284" s="22">
        <f>SUM(D284:J284,L284:Q284,T284:X284)</f>
        <v>280141350</v>
      </c>
      <c r="D284" s="23">
        <v>24686000</v>
      </c>
      <c r="E284" s="22">
        <v>24530000</v>
      </c>
      <c r="F284" s="22">
        <v>0</v>
      </c>
      <c r="G284" s="28">
        <v>20092700</v>
      </c>
      <c r="H284" s="22">
        <v>47021480</v>
      </c>
      <c r="I284" s="25">
        <v>0</v>
      </c>
      <c r="J284" s="25">
        <v>0</v>
      </c>
      <c r="K284" s="25">
        <v>0</v>
      </c>
      <c r="L284" s="22">
        <v>14874000</v>
      </c>
      <c r="M284" s="22">
        <v>7745000</v>
      </c>
      <c r="N284" s="22">
        <v>360000</v>
      </c>
      <c r="O284" s="25"/>
      <c r="P284" s="28">
        <v>0</v>
      </c>
      <c r="Q284" s="22">
        <v>0</v>
      </c>
      <c r="R284" s="25"/>
      <c r="S284" s="26">
        <v>93832000</v>
      </c>
      <c r="T284" s="22">
        <v>136763000</v>
      </c>
      <c r="U284" s="25"/>
      <c r="V284" s="25"/>
      <c r="W284" s="25"/>
      <c r="X284" s="22">
        <v>4069170</v>
      </c>
      <c r="Y284" s="27"/>
      <c r="Z284" s="43"/>
      <c r="AA284" s="43"/>
      <c r="AB284" s="43"/>
      <c r="AC284" s="20"/>
    </row>
    <row r="285" spans="1:29" s="20" customFormat="1" ht="25.5" customHeight="1" x14ac:dyDescent="0.4">
      <c r="A285" s="173"/>
      <c r="B285" s="30" t="s">
        <v>34</v>
      </c>
      <c r="C285" s="31">
        <f>SUM(D285:J285,L285:Q285,T285:X285)</f>
        <v>196227450</v>
      </c>
      <c r="D285" s="32">
        <v>16335000</v>
      </c>
      <c r="E285" s="31">
        <v>15426000</v>
      </c>
      <c r="F285" s="31">
        <v>2959000</v>
      </c>
      <c r="G285" s="33">
        <v>12295500</v>
      </c>
      <c r="H285" s="31">
        <v>41709000</v>
      </c>
      <c r="I285" s="34">
        <v>0</v>
      </c>
      <c r="J285" s="34">
        <v>0</v>
      </c>
      <c r="K285" s="34"/>
      <c r="L285" s="31">
        <v>13798000</v>
      </c>
      <c r="M285" s="31">
        <v>7038000</v>
      </c>
      <c r="N285" s="31">
        <v>404000</v>
      </c>
      <c r="O285" s="31">
        <v>1384000</v>
      </c>
      <c r="P285" s="33">
        <v>0</v>
      </c>
      <c r="Q285" s="34">
        <v>0</v>
      </c>
      <c r="R285" s="34"/>
      <c r="S285" s="35">
        <v>90306000</v>
      </c>
      <c r="T285" s="31">
        <v>82212000</v>
      </c>
      <c r="U285" s="34"/>
      <c r="V285" s="34"/>
      <c r="W285" s="34"/>
      <c r="X285" s="31">
        <v>2666950</v>
      </c>
      <c r="Y285" s="36"/>
      <c r="Z285" s="19"/>
      <c r="AA285" s="19"/>
      <c r="AB285" s="19"/>
    </row>
    <row r="286" spans="1:29" s="20" customFormat="1" ht="25.5" customHeight="1" x14ac:dyDescent="0.4">
      <c r="A286" s="173"/>
      <c r="B286" s="30" t="s">
        <v>57</v>
      </c>
      <c r="C286" s="38">
        <f>SUM(D286:X286)</f>
        <v>470336256</v>
      </c>
      <c r="D286" s="39">
        <v>24961000</v>
      </c>
      <c r="E286" s="38">
        <v>12306000</v>
      </c>
      <c r="F286" s="38">
        <v>10854000</v>
      </c>
      <c r="G286" s="40">
        <v>18431500</v>
      </c>
      <c r="H286" s="38">
        <v>43503000</v>
      </c>
      <c r="I286" s="41">
        <v>0</v>
      </c>
      <c r="J286" s="41">
        <v>0</v>
      </c>
      <c r="K286" s="38">
        <v>10167500</v>
      </c>
      <c r="L286" s="38">
        <v>41672000</v>
      </c>
      <c r="M286" s="38">
        <v>9234500</v>
      </c>
      <c r="N286" s="38">
        <v>201000</v>
      </c>
      <c r="O286" s="38">
        <v>1704000</v>
      </c>
      <c r="P286" s="40">
        <v>0</v>
      </c>
      <c r="Q286" s="41">
        <v>0</v>
      </c>
      <c r="R286" s="38">
        <v>11719000</v>
      </c>
      <c r="S286" s="38">
        <v>116300000</v>
      </c>
      <c r="T286" s="38">
        <v>121440000</v>
      </c>
      <c r="U286" s="38">
        <v>39440000</v>
      </c>
      <c r="V286" s="41">
        <v>0</v>
      </c>
      <c r="W286" s="38">
        <v>407000</v>
      </c>
      <c r="X286" s="38">
        <v>7995756</v>
      </c>
      <c r="Y286" s="42"/>
      <c r="Z286" s="19">
        <f>S286/S285</f>
        <v>1.2878435541381525</v>
      </c>
      <c r="AA286" s="19"/>
      <c r="AB286" s="19"/>
    </row>
    <row r="287" spans="1:29" s="44" customFormat="1" ht="25.5" customHeight="1" x14ac:dyDescent="0.4">
      <c r="A287" s="173"/>
      <c r="B287" s="37" t="s">
        <v>36</v>
      </c>
      <c r="C287" s="38">
        <f t="shared" ref="C287:C288" si="219">SUM(D287:X287)</f>
        <v>0</v>
      </c>
      <c r="D287" s="39"/>
      <c r="E287" s="38"/>
      <c r="F287" s="38"/>
      <c r="G287" s="40"/>
      <c r="H287" s="38"/>
      <c r="I287" s="38"/>
      <c r="J287" s="38"/>
      <c r="K287" s="38"/>
      <c r="L287" s="38"/>
      <c r="M287" s="38"/>
      <c r="N287" s="38"/>
      <c r="O287" s="38"/>
      <c r="P287" s="40"/>
      <c r="Q287" s="38"/>
      <c r="R287" s="38"/>
      <c r="S287" s="38"/>
      <c r="T287" s="38"/>
      <c r="U287" s="38"/>
      <c r="V287" s="38"/>
      <c r="W287" s="38"/>
      <c r="X287" s="38"/>
      <c r="Y287" s="42"/>
      <c r="Z287" s="43"/>
      <c r="AA287" s="43"/>
      <c r="AB287" s="43"/>
    </row>
    <row r="288" spans="1:29" s="44" customFormat="1" ht="25.5" customHeight="1" x14ac:dyDescent="0.4">
      <c r="A288" s="173"/>
      <c r="B288" s="45" t="s">
        <v>37</v>
      </c>
      <c r="C288" s="46">
        <f t="shared" si="219"/>
        <v>576800000</v>
      </c>
      <c r="D288" s="47">
        <f>ROUNDUP(D286*102%,-5)</f>
        <v>25500000</v>
      </c>
      <c r="E288" s="46">
        <f>ROUNDUP(E286*102%,-5)</f>
        <v>12600000</v>
      </c>
      <c r="F288" s="46">
        <f>ROUNDUP(F286*102%,-5)</f>
        <v>11100000</v>
      </c>
      <c r="G288" s="48">
        <f>ROUNDUP(G286*104%,-5)</f>
        <v>19200000</v>
      </c>
      <c r="H288" s="46">
        <f>ROUNDUP(H286*105%,-5)</f>
        <v>45700000</v>
      </c>
      <c r="I288" s="50">
        <f>ROUNDUP(I280*102%,-5)</f>
        <v>20000000</v>
      </c>
      <c r="J288" s="50">
        <f>ROUNDUP(I288*70%,-5)</f>
        <v>14000000</v>
      </c>
      <c r="K288" s="46">
        <f>ROUNDUP(K286*102%,-5)</f>
        <v>10400000</v>
      </c>
      <c r="L288" s="46">
        <f>ROUNDUP(L286*102%,-5)</f>
        <v>42600000</v>
      </c>
      <c r="M288" s="50">
        <f>ROUNDUP(M286*200%,-5)</f>
        <v>18500000</v>
      </c>
      <c r="N288" s="46">
        <f t="shared" ref="N288:P288" si="220">ROUNDUP(N285*102%,-5)</f>
        <v>500000</v>
      </c>
      <c r="O288" s="50">
        <f>ROUNDUP(O286*102%,-5)</f>
        <v>1800000</v>
      </c>
      <c r="P288" s="48">
        <f t="shared" si="220"/>
        <v>0</v>
      </c>
      <c r="Q288" s="50">
        <f>ROUNDUP(U288*50%,-5)</f>
        <v>29600000</v>
      </c>
      <c r="R288" s="50">
        <f>ROUNDUP(R286*120%,-5)</f>
        <v>14100000</v>
      </c>
      <c r="S288" s="46">
        <f>ROUNDUP(S286*102%,-5)</f>
        <v>118700000</v>
      </c>
      <c r="T288" s="46">
        <f>ROUNDUP(T286*102%,-5)</f>
        <v>123900000</v>
      </c>
      <c r="U288" s="46">
        <f>ROUNDUP(U286*150%,-5)</f>
        <v>59200000</v>
      </c>
      <c r="V288" s="50">
        <v>500000</v>
      </c>
      <c r="W288" s="50">
        <f>ROUNDUP(W286*120%,-5)</f>
        <v>500000</v>
      </c>
      <c r="X288" s="46">
        <f>ROUNDUP(X286*105%,-5)</f>
        <v>8400000</v>
      </c>
      <c r="Y288" s="51" t="s">
        <v>38</v>
      </c>
      <c r="Z288" s="43"/>
      <c r="AA288" s="43">
        <f>D288/D280</f>
        <v>1.0911424903722722</v>
      </c>
      <c r="AB288" s="43"/>
    </row>
    <row r="289" spans="1:28" s="59" customFormat="1" ht="25.5" customHeight="1" x14ac:dyDescent="0.4">
      <c r="A289" s="173"/>
      <c r="B289" s="12" t="s">
        <v>39</v>
      </c>
      <c r="C289" s="52">
        <f>SUM(D289:X289)</f>
        <v>-284419200</v>
      </c>
      <c r="D289" s="53">
        <f>D287-D280</f>
        <v>-23370000</v>
      </c>
      <c r="E289" s="52">
        <f t="shared" ref="E289:X289" si="221">E287-E280</f>
        <v>-37282500</v>
      </c>
      <c r="F289" s="54">
        <f t="shared" si="221"/>
        <v>0</v>
      </c>
      <c r="G289" s="55">
        <f t="shared" si="221"/>
        <v>0</v>
      </c>
      <c r="H289" s="54">
        <f t="shared" si="221"/>
        <v>0</v>
      </c>
      <c r="I289" s="52">
        <f t="shared" si="221"/>
        <v>-19538200</v>
      </c>
      <c r="J289" s="52">
        <f t="shared" si="221"/>
        <v>0</v>
      </c>
      <c r="K289" s="56">
        <f t="shared" si="221"/>
        <v>-27533000</v>
      </c>
      <c r="L289" s="52">
        <f t="shared" si="221"/>
        <v>-14282000</v>
      </c>
      <c r="M289" s="52">
        <f t="shared" si="221"/>
        <v>-9180500</v>
      </c>
      <c r="N289" s="52">
        <f t="shared" si="221"/>
        <v>0</v>
      </c>
      <c r="O289" s="54">
        <f t="shared" si="221"/>
        <v>0</v>
      </c>
      <c r="P289" s="55">
        <f t="shared" si="221"/>
        <v>0</v>
      </c>
      <c r="Q289" s="56">
        <f t="shared" si="221"/>
        <v>-21146000</v>
      </c>
      <c r="R289" s="54">
        <f t="shared" si="221"/>
        <v>0</v>
      </c>
      <c r="S289" s="56">
        <f t="shared" si="221"/>
        <v>-59077000</v>
      </c>
      <c r="T289" s="56">
        <f t="shared" si="221"/>
        <v>-73010000</v>
      </c>
      <c r="U289" s="54">
        <f t="shared" si="221"/>
        <v>0</v>
      </c>
      <c r="V289" s="54">
        <f t="shared" si="221"/>
        <v>0</v>
      </c>
      <c r="W289" s="54">
        <f t="shared" si="221"/>
        <v>0</v>
      </c>
      <c r="X289" s="54">
        <f t="shared" si="221"/>
        <v>0</v>
      </c>
      <c r="Y289" s="57"/>
      <c r="Z289" s="58"/>
      <c r="AA289" s="58"/>
      <c r="AB289" s="58"/>
    </row>
    <row r="290" spans="1:28" s="20" customFormat="1" ht="25.5" customHeight="1" x14ac:dyDescent="0.4">
      <c r="A290" s="173"/>
      <c r="B290" s="21" t="s">
        <v>40</v>
      </c>
      <c r="C290" s="60">
        <f>IFERROR(C286/C280,0)</f>
        <v>4.5375951345448087</v>
      </c>
      <c r="D290" s="61">
        <f>IFERROR(D287/D280,0)</f>
        <v>0</v>
      </c>
      <c r="E290" s="60">
        <f t="shared" ref="E290:X290" si="222">IFERROR(E287/E280,0)</f>
        <v>0</v>
      </c>
      <c r="F290" s="62">
        <f t="shared" si="222"/>
        <v>0</v>
      </c>
      <c r="G290" s="63">
        <f t="shared" si="222"/>
        <v>0</v>
      </c>
      <c r="H290" s="62">
        <f t="shared" si="222"/>
        <v>0</v>
      </c>
      <c r="I290" s="60">
        <f t="shared" si="222"/>
        <v>0</v>
      </c>
      <c r="J290" s="60">
        <f t="shared" si="222"/>
        <v>0</v>
      </c>
      <c r="K290" s="64">
        <f t="shared" si="222"/>
        <v>0</v>
      </c>
      <c r="L290" s="60">
        <f t="shared" si="222"/>
        <v>0</v>
      </c>
      <c r="M290" s="60">
        <f t="shared" si="222"/>
        <v>0</v>
      </c>
      <c r="N290" s="60">
        <f t="shared" si="222"/>
        <v>0</v>
      </c>
      <c r="O290" s="62">
        <f t="shared" si="222"/>
        <v>0</v>
      </c>
      <c r="P290" s="63">
        <f t="shared" si="222"/>
        <v>0</v>
      </c>
      <c r="Q290" s="64">
        <f t="shared" si="222"/>
        <v>0</v>
      </c>
      <c r="R290" s="62">
        <f t="shared" si="222"/>
        <v>0</v>
      </c>
      <c r="S290" s="64">
        <f t="shared" si="222"/>
        <v>0</v>
      </c>
      <c r="T290" s="64">
        <f t="shared" si="222"/>
        <v>0</v>
      </c>
      <c r="U290" s="62">
        <f t="shared" si="222"/>
        <v>0</v>
      </c>
      <c r="V290" s="62">
        <f t="shared" si="222"/>
        <v>0</v>
      </c>
      <c r="W290" s="62">
        <f t="shared" si="222"/>
        <v>0</v>
      </c>
      <c r="X290" s="62">
        <f t="shared" si="222"/>
        <v>0</v>
      </c>
      <c r="Y290" s="65"/>
      <c r="Z290" s="19"/>
      <c r="AA290" s="19"/>
      <c r="AB290" s="19"/>
    </row>
    <row r="291" spans="1:28" s="59" customFormat="1" ht="25.5" customHeight="1" x14ac:dyDescent="0.4">
      <c r="A291" s="173"/>
      <c r="B291" s="21" t="s">
        <v>41</v>
      </c>
      <c r="C291" s="66">
        <f>SUM(D291:X291)</f>
        <v>-23397000</v>
      </c>
      <c r="D291" s="67">
        <f>D287-D281</f>
        <v>0</v>
      </c>
      <c r="E291" s="66">
        <f t="shared" ref="E291:X291" si="223">E287-E281</f>
        <v>0</v>
      </c>
      <c r="F291" s="66">
        <f t="shared" si="223"/>
        <v>0</v>
      </c>
      <c r="G291" s="68">
        <f t="shared" si="223"/>
        <v>0</v>
      </c>
      <c r="H291" s="69">
        <f t="shared" si="223"/>
        <v>0</v>
      </c>
      <c r="I291" s="66">
        <f t="shared" si="223"/>
        <v>0</v>
      </c>
      <c r="J291" s="69">
        <f t="shared" si="223"/>
        <v>0</v>
      </c>
      <c r="K291" s="70">
        <f t="shared" si="223"/>
        <v>0</v>
      </c>
      <c r="L291" s="66">
        <f t="shared" si="223"/>
        <v>-745000</v>
      </c>
      <c r="M291" s="66">
        <f t="shared" si="223"/>
        <v>-3823000</v>
      </c>
      <c r="N291" s="66">
        <f t="shared" si="223"/>
        <v>0</v>
      </c>
      <c r="O291" s="69">
        <f t="shared" si="223"/>
        <v>0</v>
      </c>
      <c r="P291" s="68">
        <f t="shared" si="223"/>
        <v>-221000</v>
      </c>
      <c r="Q291" s="70">
        <f t="shared" si="223"/>
        <v>0</v>
      </c>
      <c r="R291" s="69">
        <f t="shared" si="223"/>
        <v>0</v>
      </c>
      <c r="S291" s="70">
        <f t="shared" si="223"/>
        <v>-13151000</v>
      </c>
      <c r="T291" s="70">
        <f t="shared" si="223"/>
        <v>-5457000</v>
      </c>
      <c r="U291" s="69">
        <f t="shared" si="223"/>
        <v>0</v>
      </c>
      <c r="V291" s="69">
        <f t="shared" si="223"/>
        <v>0</v>
      </c>
      <c r="W291" s="69">
        <f t="shared" si="223"/>
        <v>0</v>
      </c>
      <c r="X291" s="69">
        <f t="shared" si="223"/>
        <v>0</v>
      </c>
      <c r="Y291" s="27"/>
      <c r="Z291" s="58"/>
      <c r="AA291" s="58"/>
      <c r="AB291" s="58"/>
    </row>
    <row r="292" spans="1:28" s="20" customFormat="1" ht="25.5" customHeight="1" x14ac:dyDescent="0.4">
      <c r="A292" s="173"/>
      <c r="B292" s="21" t="s">
        <v>42</v>
      </c>
      <c r="C292" s="60">
        <f>IFERROR(C286/C281,0)</f>
        <v>102.96327845884413</v>
      </c>
      <c r="D292" s="61">
        <f>IFERROR(D287/D281,0)</f>
        <v>0</v>
      </c>
      <c r="E292" s="60">
        <f t="shared" ref="E292:X292" si="224">IFERROR(E287/E281,0)</f>
        <v>0</v>
      </c>
      <c r="F292" s="60">
        <f t="shared" si="224"/>
        <v>0</v>
      </c>
      <c r="G292" s="63">
        <f t="shared" si="224"/>
        <v>0</v>
      </c>
      <c r="H292" s="62">
        <f t="shared" si="224"/>
        <v>0</v>
      </c>
      <c r="I292" s="60">
        <f t="shared" si="224"/>
        <v>0</v>
      </c>
      <c r="J292" s="62">
        <f t="shared" si="224"/>
        <v>0</v>
      </c>
      <c r="K292" s="64">
        <f t="shared" si="224"/>
        <v>0</v>
      </c>
      <c r="L292" s="60">
        <f t="shared" si="224"/>
        <v>0</v>
      </c>
      <c r="M292" s="60">
        <f t="shared" si="224"/>
        <v>0</v>
      </c>
      <c r="N292" s="60">
        <f t="shared" si="224"/>
        <v>0</v>
      </c>
      <c r="O292" s="62">
        <f t="shared" si="224"/>
        <v>0</v>
      </c>
      <c r="P292" s="63">
        <f t="shared" si="224"/>
        <v>0</v>
      </c>
      <c r="Q292" s="64">
        <f t="shared" si="224"/>
        <v>0</v>
      </c>
      <c r="R292" s="62">
        <f t="shared" si="224"/>
        <v>0</v>
      </c>
      <c r="S292" s="64">
        <f t="shared" si="224"/>
        <v>0</v>
      </c>
      <c r="T292" s="64">
        <f t="shared" si="224"/>
        <v>0</v>
      </c>
      <c r="U292" s="62">
        <f t="shared" si="224"/>
        <v>0</v>
      </c>
      <c r="V292" s="62">
        <f t="shared" si="224"/>
        <v>0</v>
      </c>
      <c r="W292" s="62">
        <f t="shared" si="224"/>
        <v>0</v>
      </c>
      <c r="X292" s="62">
        <f t="shared" si="224"/>
        <v>0</v>
      </c>
      <c r="Y292" s="65"/>
      <c r="Z292" s="19"/>
      <c r="AA292" s="19"/>
      <c r="AB292" s="19"/>
    </row>
    <row r="293" spans="1:28" s="59" customFormat="1" ht="25.5" customHeight="1" x14ac:dyDescent="0.4">
      <c r="A293" s="173"/>
      <c r="B293" s="21" t="s">
        <v>43</v>
      </c>
      <c r="C293" s="66">
        <f>SUM(D293:X293)</f>
        <v>-154943952</v>
      </c>
      <c r="D293" s="67">
        <f>D287-D282</f>
        <v>-5199000</v>
      </c>
      <c r="E293" s="66">
        <f t="shared" ref="E293:X293" si="225">E287-E282</f>
        <v>-4463000</v>
      </c>
      <c r="F293" s="66">
        <f t="shared" si="225"/>
        <v>0</v>
      </c>
      <c r="G293" s="71">
        <f t="shared" si="225"/>
        <v>-6047000</v>
      </c>
      <c r="H293" s="69">
        <f t="shared" si="225"/>
        <v>0</v>
      </c>
      <c r="I293" s="66">
        <f t="shared" si="225"/>
        <v>-1216000</v>
      </c>
      <c r="J293" s="69">
        <f t="shared" si="225"/>
        <v>0</v>
      </c>
      <c r="K293" s="25">
        <f t="shared" si="225"/>
        <v>0</v>
      </c>
      <c r="L293" s="66">
        <f t="shared" si="225"/>
        <v>-10720000</v>
      </c>
      <c r="M293" s="66">
        <f t="shared" si="225"/>
        <v>-8141000</v>
      </c>
      <c r="N293" s="66">
        <f t="shared" si="225"/>
        <v>-342000</v>
      </c>
      <c r="O293" s="69">
        <f t="shared" si="225"/>
        <v>0</v>
      </c>
      <c r="P293" s="72">
        <f t="shared" si="225"/>
        <v>0</v>
      </c>
      <c r="Q293" s="70">
        <f t="shared" si="225"/>
        <v>-9089000</v>
      </c>
      <c r="R293" s="69">
        <f t="shared" si="225"/>
        <v>0</v>
      </c>
      <c r="S293" s="70">
        <f t="shared" si="225"/>
        <v>-66042000</v>
      </c>
      <c r="T293" s="70">
        <f t="shared" si="225"/>
        <v>-43684952</v>
      </c>
      <c r="U293" s="69">
        <f t="shared" si="225"/>
        <v>0</v>
      </c>
      <c r="V293" s="69">
        <f t="shared" si="225"/>
        <v>0</v>
      </c>
      <c r="W293" s="69">
        <f t="shared" si="225"/>
        <v>0</v>
      </c>
      <c r="X293" s="69">
        <f t="shared" si="225"/>
        <v>0</v>
      </c>
      <c r="Y293" s="27"/>
      <c r="Z293" s="58"/>
      <c r="AA293" s="58"/>
      <c r="AB293" s="58"/>
    </row>
    <row r="294" spans="1:28" s="20" customFormat="1" ht="25.5" customHeight="1" x14ac:dyDescent="0.4">
      <c r="A294" s="173"/>
      <c r="B294" s="21" t="s">
        <v>44</v>
      </c>
      <c r="C294" s="60">
        <f>IFERROR(C286/C282,0)</f>
        <v>13.018607617360496</v>
      </c>
      <c r="D294" s="61">
        <f>IFERROR(D287/D282,0)</f>
        <v>0</v>
      </c>
      <c r="E294" s="60">
        <f t="shared" ref="E294:X294" si="226">IFERROR(E287/E282,0)</f>
        <v>0</v>
      </c>
      <c r="F294" s="60">
        <f t="shared" si="226"/>
        <v>0</v>
      </c>
      <c r="G294" s="73">
        <f t="shared" si="226"/>
        <v>0</v>
      </c>
      <c r="H294" s="62">
        <f t="shared" si="226"/>
        <v>0</v>
      </c>
      <c r="I294" s="60">
        <f t="shared" si="226"/>
        <v>0</v>
      </c>
      <c r="J294" s="62">
        <f t="shared" si="226"/>
        <v>0</v>
      </c>
      <c r="K294" s="62">
        <f t="shared" si="226"/>
        <v>0</v>
      </c>
      <c r="L294" s="60">
        <f t="shared" si="226"/>
        <v>0</v>
      </c>
      <c r="M294" s="60">
        <f t="shared" si="226"/>
        <v>0</v>
      </c>
      <c r="N294" s="60">
        <f t="shared" si="226"/>
        <v>0</v>
      </c>
      <c r="O294" s="62">
        <f t="shared" si="226"/>
        <v>0</v>
      </c>
      <c r="P294" s="74">
        <f t="shared" si="226"/>
        <v>0</v>
      </c>
      <c r="Q294" s="64">
        <f t="shared" si="226"/>
        <v>0</v>
      </c>
      <c r="R294" s="62">
        <f t="shared" si="226"/>
        <v>0</v>
      </c>
      <c r="S294" s="64">
        <f t="shared" si="226"/>
        <v>0</v>
      </c>
      <c r="T294" s="64">
        <f t="shared" si="226"/>
        <v>0</v>
      </c>
      <c r="U294" s="62">
        <f t="shared" si="226"/>
        <v>0</v>
      </c>
      <c r="V294" s="62">
        <f t="shared" si="226"/>
        <v>0</v>
      </c>
      <c r="W294" s="62">
        <f t="shared" si="226"/>
        <v>0</v>
      </c>
      <c r="X294" s="62">
        <f t="shared" si="226"/>
        <v>0</v>
      </c>
      <c r="Y294" s="65"/>
      <c r="Z294" s="19"/>
      <c r="AA294" s="19"/>
      <c r="AB294" s="19"/>
    </row>
    <row r="295" spans="1:28" s="59" customFormat="1" ht="25.5" customHeight="1" x14ac:dyDescent="0.4">
      <c r="A295" s="173"/>
      <c r="B295" s="21" t="s">
        <v>45</v>
      </c>
      <c r="C295" s="66">
        <f>SUM(D295:X295)</f>
        <v>-278980500</v>
      </c>
      <c r="D295" s="67">
        <f>D287-D283</f>
        <v>-21243000</v>
      </c>
      <c r="E295" s="66">
        <f t="shared" ref="E295:X295" si="227">E287-E283</f>
        <v>-24596000</v>
      </c>
      <c r="F295" s="66">
        <f t="shared" si="227"/>
        <v>0</v>
      </c>
      <c r="G295" s="71">
        <f t="shared" si="227"/>
        <v>-21740000</v>
      </c>
      <c r="H295" s="69">
        <f t="shared" si="227"/>
        <v>0</v>
      </c>
      <c r="I295" s="66">
        <f t="shared" si="227"/>
        <v>0</v>
      </c>
      <c r="J295" s="69">
        <f t="shared" si="227"/>
        <v>0</v>
      </c>
      <c r="K295" s="25">
        <f t="shared" si="227"/>
        <v>0</v>
      </c>
      <c r="L295" s="66">
        <f t="shared" si="227"/>
        <v>-16894000</v>
      </c>
      <c r="M295" s="66">
        <f t="shared" si="227"/>
        <v>-11660500</v>
      </c>
      <c r="N295" s="66">
        <f t="shared" si="227"/>
        <v>-253000</v>
      </c>
      <c r="O295" s="69">
        <f t="shared" si="227"/>
        <v>0</v>
      </c>
      <c r="P295" s="72">
        <f t="shared" si="227"/>
        <v>0</v>
      </c>
      <c r="Q295" s="70">
        <f t="shared" si="227"/>
        <v>-17070000</v>
      </c>
      <c r="R295" s="69">
        <f t="shared" si="227"/>
        <v>0</v>
      </c>
      <c r="S295" s="70">
        <f t="shared" si="227"/>
        <v>-78019000</v>
      </c>
      <c r="T295" s="70">
        <f t="shared" si="227"/>
        <v>-87505000</v>
      </c>
      <c r="U295" s="69">
        <f t="shared" si="227"/>
        <v>0</v>
      </c>
      <c r="V295" s="69">
        <f t="shared" si="227"/>
        <v>0</v>
      </c>
      <c r="W295" s="69">
        <f t="shared" si="227"/>
        <v>0</v>
      </c>
      <c r="X295" s="69">
        <f t="shared" si="227"/>
        <v>0</v>
      </c>
      <c r="Y295" s="27"/>
      <c r="Z295" s="58"/>
      <c r="AA295" s="58"/>
      <c r="AB295" s="58"/>
    </row>
    <row r="296" spans="1:28" s="20" customFormat="1" ht="25.5" customHeight="1" x14ac:dyDescent="0.4">
      <c r="A296" s="173"/>
      <c r="B296" s="21" t="s">
        <v>46</v>
      </c>
      <c r="C296" s="60">
        <f>IFERROR(C286/C283,0)</f>
        <v>2.3404296643884526</v>
      </c>
      <c r="D296" s="61">
        <f>IFERROR(D287/D283,0)</f>
        <v>0</v>
      </c>
      <c r="E296" s="60">
        <f t="shared" ref="E296:X296" si="228">IFERROR(E287/E283,0)</f>
        <v>0</v>
      </c>
      <c r="F296" s="60">
        <f t="shared" si="228"/>
        <v>0</v>
      </c>
      <c r="G296" s="73">
        <f t="shared" si="228"/>
        <v>0</v>
      </c>
      <c r="H296" s="62">
        <f t="shared" si="228"/>
        <v>0</v>
      </c>
      <c r="I296" s="60">
        <f t="shared" si="228"/>
        <v>0</v>
      </c>
      <c r="J296" s="62">
        <f t="shared" si="228"/>
        <v>0</v>
      </c>
      <c r="K296" s="62">
        <f t="shared" si="228"/>
        <v>0</v>
      </c>
      <c r="L296" s="60">
        <f t="shared" si="228"/>
        <v>0</v>
      </c>
      <c r="M296" s="60">
        <f t="shared" si="228"/>
        <v>0</v>
      </c>
      <c r="N296" s="60">
        <f t="shared" si="228"/>
        <v>0</v>
      </c>
      <c r="O296" s="62">
        <f t="shared" si="228"/>
        <v>0</v>
      </c>
      <c r="P296" s="74">
        <f t="shared" si="228"/>
        <v>0</v>
      </c>
      <c r="Q296" s="64">
        <f t="shared" si="228"/>
        <v>0</v>
      </c>
      <c r="R296" s="62">
        <f t="shared" si="228"/>
        <v>0</v>
      </c>
      <c r="S296" s="64">
        <f t="shared" si="228"/>
        <v>0</v>
      </c>
      <c r="T296" s="64">
        <f t="shared" si="228"/>
        <v>0</v>
      </c>
      <c r="U296" s="62">
        <f t="shared" si="228"/>
        <v>0</v>
      </c>
      <c r="V296" s="62">
        <f t="shared" si="228"/>
        <v>0</v>
      </c>
      <c r="W296" s="62">
        <f t="shared" si="228"/>
        <v>0</v>
      </c>
      <c r="X296" s="62">
        <f t="shared" si="228"/>
        <v>0</v>
      </c>
      <c r="Y296" s="65"/>
      <c r="Z296" s="19"/>
      <c r="AA296" s="19"/>
      <c r="AB296" s="19"/>
    </row>
    <row r="297" spans="1:28" s="59" customFormat="1" ht="25.5" customHeight="1" x14ac:dyDescent="0.4">
      <c r="A297" s="173"/>
      <c r="B297" s="21" t="s">
        <v>47</v>
      </c>
      <c r="C297" s="66">
        <f>SUM(D297:X297)</f>
        <v>-373973350</v>
      </c>
      <c r="D297" s="67">
        <f>D287-D284</f>
        <v>-24686000</v>
      </c>
      <c r="E297" s="66">
        <f t="shared" ref="E297:X297" si="229">E287-E284</f>
        <v>-24530000</v>
      </c>
      <c r="F297" s="66">
        <f t="shared" si="229"/>
        <v>0</v>
      </c>
      <c r="G297" s="71">
        <f t="shared" si="229"/>
        <v>-20092700</v>
      </c>
      <c r="H297" s="69">
        <f t="shared" si="229"/>
        <v>-47021480</v>
      </c>
      <c r="I297" s="69">
        <f t="shared" si="229"/>
        <v>0</v>
      </c>
      <c r="J297" s="69">
        <f t="shared" si="229"/>
        <v>0</v>
      </c>
      <c r="K297" s="25">
        <f t="shared" si="229"/>
        <v>0</v>
      </c>
      <c r="L297" s="66">
        <f t="shared" si="229"/>
        <v>-14874000</v>
      </c>
      <c r="M297" s="66">
        <f t="shared" si="229"/>
        <v>-7745000</v>
      </c>
      <c r="N297" s="66">
        <f t="shared" si="229"/>
        <v>-360000</v>
      </c>
      <c r="O297" s="69">
        <f t="shared" si="229"/>
        <v>0</v>
      </c>
      <c r="P297" s="72">
        <f t="shared" si="229"/>
        <v>0</v>
      </c>
      <c r="Q297" s="66">
        <f t="shared" si="229"/>
        <v>0</v>
      </c>
      <c r="R297" s="69">
        <f t="shared" si="229"/>
        <v>0</v>
      </c>
      <c r="S297" s="70">
        <f t="shared" si="229"/>
        <v>-93832000</v>
      </c>
      <c r="T297" s="66">
        <f t="shared" si="229"/>
        <v>-136763000</v>
      </c>
      <c r="U297" s="69">
        <f t="shared" si="229"/>
        <v>0</v>
      </c>
      <c r="V297" s="69">
        <f t="shared" si="229"/>
        <v>0</v>
      </c>
      <c r="W297" s="69">
        <f t="shared" si="229"/>
        <v>0</v>
      </c>
      <c r="X297" s="69">
        <f t="shared" si="229"/>
        <v>-4069170</v>
      </c>
      <c r="Y297" s="27"/>
      <c r="Z297" s="58"/>
      <c r="AA297" s="58"/>
      <c r="AB297" s="58"/>
    </row>
    <row r="298" spans="1:28" s="20" customFormat="1" ht="25.5" customHeight="1" x14ac:dyDescent="0.4">
      <c r="A298" s="173"/>
      <c r="B298" s="21" t="s">
        <v>48</v>
      </c>
      <c r="C298" s="60">
        <f>IFERROR(C286/C284,0)</f>
        <v>1.6789247856483878</v>
      </c>
      <c r="D298" s="61">
        <f>IFERROR(D287/D284,0)</f>
        <v>0</v>
      </c>
      <c r="E298" s="60">
        <f t="shared" ref="E298:X298" si="230">IFERROR(E287/E284,0)</f>
        <v>0</v>
      </c>
      <c r="F298" s="60">
        <f t="shared" si="230"/>
        <v>0</v>
      </c>
      <c r="G298" s="73">
        <f t="shared" si="230"/>
        <v>0</v>
      </c>
      <c r="H298" s="62">
        <f t="shared" si="230"/>
        <v>0</v>
      </c>
      <c r="I298" s="62">
        <f t="shared" si="230"/>
        <v>0</v>
      </c>
      <c r="J298" s="62">
        <f t="shared" si="230"/>
        <v>0</v>
      </c>
      <c r="K298" s="62">
        <f t="shared" si="230"/>
        <v>0</v>
      </c>
      <c r="L298" s="60">
        <f t="shared" si="230"/>
        <v>0</v>
      </c>
      <c r="M298" s="60">
        <f t="shared" si="230"/>
        <v>0</v>
      </c>
      <c r="N298" s="60">
        <f t="shared" si="230"/>
        <v>0</v>
      </c>
      <c r="O298" s="62">
        <f t="shared" si="230"/>
        <v>0</v>
      </c>
      <c r="P298" s="74">
        <f t="shared" si="230"/>
        <v>0</v>
      </c>
      <c r="Q298" s="60">
        <f t="shared" si="230"/>
        <v>0</v>
      </c>
      <c r="R298" s="62">
        <f t="shared" si="230"/>
        <v>0</v>
      </c>
      <c r="S298" s="64">
        <f t="shared" si="230"/>
        <v>0</v>
      </c>
      <c r="T298" s="60">
        <f t="shared" si="230"/>
        <v>0</v>
      </c>
      <c r="U298" s="62">
        <f t="shared" si="230"/>
        <v>0</v>
      </c>
      <c r="V298" s="62">
        <f t="shared" si="230"/>
        <v>0</v>
      </c>
      <c r="W298" s="62">
        <f t="shared" si="230"/>
        <v>0</v>
      </c>
      <c r="X298" s="62">
        <f t="shared" si="230"/>
        <v>0</v>
      </c>
      <c r="Y298" s="65"/>
      <c r="Z298" s="19"/>
      <c r="AA298" s="19"/>
      <c r="AB298" s="19"/>
    </row>
    <row r="299" spans="1:28" s="20" customFormat="1" ht="25.5" customHeight="1" x14ac:dyDescent="0.4">
      <c r="A299" s="173"/>
      <c r="B299" s="21" t="s">
        <v>49</v>
      </c>
      <c r="C299" s="66">
        <f>SUM(D299:X299)</f>
        <v>-286533450</v>
      </c>
      <c r="D299" s="67">
        <f>D287-D285</f>
        <v>-16335000</v>
      </c>
      <c r="E299" s="66">
        <f t="shared" ref="E299:X299" si="231">E287-E285</f>
        <v>-15426000</v>
      </c>
      <c r="F299" s="66">
        <f t="shared" si="231"/>
        <v>-2959000</v>
      </c>
      <c r="G299" s="71">
        <f t="shared" si="231"/>
        <v>-12295500</v>
      </c>
      <c r="H299" s="66">
        <f t="shared" si="231"/>
        <v>-41709000</v>
      </c>
      <c r="I299" s="69">
        <f t="shared" si="231"/>
        <v>0</v>
      </c>
      <c r="J299" s="69">
        <f t="shared" si="231"/>
        <v>0</v>
      </c>
      <c r="K299" s="25">
        <f t="shared" si="231"/>
        <v>0</v>
      </c>
      <c r="L299" s="66">
        <f t="shared" si="231"/>
        <v>-13798000</v>
      </c>
      <c r="M299" s="66">
        <f t="shared" si="231"/>
        <v>-7038000</v>
      </c>
      <c r="N299" s="66">
        <f t="shared" si="231"/>
        <v>-404000</v>
      </c>
      <c r="O299" s="69">
        <f t="shared" si="231"/>
        <v>-1384000</v>
      </c>
      <c r="P299" s="71">
        <f t="shared" si="231"/>
        <v>0</v>
      </c>
      <c r="Q299" s="69">
        <f t="shared" si="231"/>
        <v>0</v>
      </c>
      <c r="R299" s="69">
        <f t="shared" si="231"/>
        <v>0</v>
      </c>
      <c r="S299" s="70">
        <f t="shared" si="231"/>
        <v>-90306000</v>
      </c>
      <c r="T299" s="66">
        <f t="shared" si="231"/>
        <v>-82212000</v>
      </c>
      <c r="U299" s="69">
        <f t="shared" si="231"/>
        <v>0</v>
      </c>
      <c r="V299" s="69">
        <f t="shared" si="231"/>
        <v>0</v>
      </c>
      <c r="W299" s="69">
        <f t="shared" si="231"/>
        <v>0</v>
      </c>
      <c r="X299" s="66">
        <f t="shared" si="231"/>
        <v>-2666950</v>
      </c>
      <c r="Y299" s="27"/>
      <c r="Z299" s="19"/>
      <c r="AA299" s="19"/>
      <c r="AB299" s="19"/>
    </row>
    <row r="300" spans="1:28" s="20" customFormat="1" ht="25.5" customHeight="1" x14ac:dyDescent="0.4">
      <c r="A300" s="173"/>
      <c r="B300" s="21" t="s">
        <v>50</v>
      </c>
      <c r="C300" s="60">
        <f>IFERROR(C286/C285,0)</f>
        <v>2.39689327869266</v>
      </c>
      <c r="D300" s="61">
        <f>IFERROR(D287/D285,0)</f>
        <v>0</v>
      </c>
      <c r="E300" s="60">
        <f t="shared" ref="E300:X300" si="232">IFERROR(E287/E285,0)</f>
        <v>0</v>
      </c>
      <c r="F300" s="60">
        <f t="shared" si="232"/>
        <v>0</v>
      </c>
      <c r="G300" s="73">
        <f t="shared" si="232"/>
        <v>0</v>
      </c>
      <c r="H300" s="60">
        <f t="shared" si="232"/>
        <v>0</v>
      </c>
      <c r="I300" s="62">
        <f t="shared" si="232"/>
        <v>0</v>
      </c>
      <c r="J300" s="62">
        <f t="shared" si="232"/>
        <v>0</v>
      </c>
      <c r="K300" s="62">
        <f t="shared" si="232"/>
        <v>0</v>
      </c>
      <c r="L300" s="60">
        <f t="shared" si="232"/>
        <v>0</v>
      </c>
      <c r="M300" s="60">
        <f t="shared" si="232"/>
        <v>0</v>
      </c>
      <c r="N300" s="60">
        <f t="shared" si="232"/>
        <v>0</v>
      </c>
      <c r="O300" s="62">
        <f t="shared" si="232"/>
        <v>0</v>
      </c>
      <c r="P300" s="73">
        <f t="shared" si="232"/>
        <v>0</v>
      </c>
      <c r="Q300" s="62">
        <f t="shared" si="232"/>
        <v>0</v>
      </c>
      <c r="R300" s="62">
        <f t="shared" si="232"/>
        <v>0</v>
      </c>
      <c r="S300" s="64">
        <f t="shared" si="232"/>
        <v>0</v>
      </c>
      <c r="T300" s="60">
        <f t="shared" si="232"/>
        <v>0</v>
      </c>
      <c r="U300" s="62">
        <f t="shared" si="232"/>
        <v>0</v>
      </c>
      <c r="V300" s="62">
        <f t="shared" si="232"/>
        <v>0</v>
      </c>
      <c r="W300" s="62">
        <f t="shared" si="232"/>
        <v>0</v>
      </c>
      <c r="X300" s="60">
        <f t="shared" si="232"/>
        <v>0</v>
      </c>
      <c r="Y300" s="65"/>
      <c r="Z300" s="19"/>
      <c r="AA300" s="19"/>
      <c r="AB300" s="19"/>
    </row>
    <row r="301" spans="1:28" s="20" customFormat="1" ht="25.5" customHeight="1" x14ac:dyDescent="0.4">
      <c r="A301" s="173"/>
      <c r="B301" s="21" t="s">
        <v>51</v>
      </c>
      <c r="C301" s="66">
        <f>SUM(D301:X301)</f>
        <v>-470336256</v>
      </c>
      <c r="D301" s="67">
        <f>D287-D286</f>
        <v>-24961000</v>
      </c>
      <c r="E301" s="66">
        <f t="shared" ref="E301:X301" si="233">E287-E286</f>
        <v>-12306000</v>
      </c>
      <c r="F301" s="66">
        <f t="shared" si="233"/>
        <v>-10854000</v>
      </c>
      <c r="G301" s="71">
        <f t="shared" si="233"/>
        <v>-18431500</v>
      </c>
      <c r="H301" s="66">
        <f t="shared" si="233"/>
        <v>-43503000</v>
      </c>
      <c r="I301" s="69">
        <f t="shared" si="233"/>
        <v>0</v>
      </c>
      <c r="J301" s="69">
        <f t="shared" si="233"/>
        <v>0</v>
      </c>
      <c r="K301" s="66">
        <f t="shared" si="233"/>
        <v>-10167500</v>
      </c>
      <c r="L301" s="66">
        <f t="shared" si="233"/>
        <v>-41672000</v>
      </c>
      <c r="M301" s="66">
        <f t="shared" si="233"/>
        <v>-9234500</v>
      </c>
      <c r="N301" s="66">
        <f t="shared" si="233"/>
        <v>-201000</v>
      </c>
      <c r="O301" s="69">
        <f t="shared" si="233"/>
        <v>-1704000</v>
      </c>
      <c r="P301" s="71">
        <f t="shared" si="233"/>
        <v>0</v>
      </c>
      <c r="Q301" s="69">
        <f t="shared" si="233"/>
        <v>0</v>
      </c>
      <c r="R301" s="66">
        <f t="shared" si="233"/>
        <v>-11719000</v>
      </c>
      <c r="S301" s="66">
        <f t="shared" si="233"/>
        <v>-116300000</v>
      </c>
      <c r="T301" s="66">
        <f t="shared" si="233"/>
        <v>-121440000</v>
      </c>
      <c r="U301" s="66">
        <f t="shared" si="233"/>
        <v>-39440000</v>
      </c>
      <c r="V301" s="69">
        <f t="shared" si="233"/>
        <v>0</v>
      </c>
      <c r="W301" s="66">
        <f t="shared" si="233"/>
        <v>-407000</v>
      </c>
      <c r="X301" s="66">
        <f t="shared" si="233"/>
        <v>-7995756</v>
      </c>
      <c r="Y301" s="27"/>
      <c r="Z301" s="19"/>
      <c r="AA301" s="19"/>
      <c r="AB301" s="19"/>
    </row>
    <row r="302" spans="1:28" s="20" customFormat="1" ht="25.5" customHeight="1" x14ac:dyDescent="0.4">
      <c r="A302" s="173"/>
      <c r="B302" s="21" t="s">
        <v>52</v>
      </c>
      <c r="C302" s="60">
        <f>IFERROR(C288/C287,0)</f>
        <v>0</v>
      </c>
      <c r="D302" s="61">
        <f>IFERROR(D287/D286,0)</f>
        <v>0</v>
      </c>
      <c r="E302" s="60">
        <f t="shared" ref="E302:X302" si="234">IFERROR(E287/E286,0)</f>
        <v>0</v>
      </c>
      <c r="F302" s="60">
        <f t="shared" si="234"/>
        <v>0</v>
      </c>
      <c r="G302" s="73">
        <f t="shared" si="234"/>
        <v>0</v>
      </c>
      <c r="H302" s="60">
        <f t="shared" si="234"/>
        <v>0</v>
      </c>
      <c r="I302" s="62">
        <f t="shared" si="234"/>
        <v>0</v>
      </c>
      <c r="J302" s="62">
        <f t="shared" si="234"/>
        <v>0</v>
      </c>
      <c r="K302" s="60">
        <f t="shared" si="234"/>
        <v>0</v>
      </c>
      <c r="L302" s="60">
        <f t="shared" si="234"/>
        <v>0</v>
      </c>
      <c r="M302" s="60">
        <f t="shared" si="234"/>
        <v>0</v>
      </c>
      <c r="N302" s="60">
        <f t="shared" si="234"/>
        <v>0</v>
      </c>
      <c r="O302" s="62">
        <f t="shared" si="234"/>
        <v>0</v>
      </c>
      <c r="P302" s="73">
        <f t="shared" si="234"/>
        <v>0</v>
      </c>
      <c r="Q302" s="62">
        <f t="shared" si="234"/>
        <v>0</v>
      </c>
      <c r="R302" s="60">
        <f t="shared" si="234"/>
        <v>0</v>
      </c>
      <c r="S302" s="60">
        <f t="shared" si="234"/>
        <v>0</v>
      </c>
      <c r="T302" s="60">
        <f t="shared" si="234"/>
        <v>0</v>
      </c>
      <c r="U302" s="60">
        <f t="shared" si="234"/>
        <v>0</v>
      </c>
      <c r="V302" s="62">
        <f t="shared" si="234"/>
        <v>0</v>
      </c>
      <c r="W302" s="60">
        <f t="shared" si="234"/>
        <v>0</v>
      </c>
      <c r="X302" s="60">
        <f t="shared" si="234"/>
        <v>0</v>
      </c>
      <c r="Y302" s="65"/>
      <c r="Z302" s="19"/>
      <c r="AA302" s="19"/>
      <c r="AB302" s="19"/>
    </row>
    <row r="303" spans="1:28" s="82" customFormat="1" ht="25.5" customHeight="1" x14ac:dyDescent="0.4">
      <c r="A303" s="173"/>
      <c r="B303" s="75" t="s">
        <v>53</v>
      </c>
      <c r="C303" s="76">
        <f>SUM(D303:X303)</f>
        <v>-576800000</v>
      </c>
      <c r="D303" s="77">
        <f>D287-D288</f>
        <v>-25500000</v>
      </c>
      <c r="E303" s="76">
        <f t="shared" ref="E303:X303" si="235">E287-E288</f>
        <v>-12600000</v>
      </c>
      <c r="F303" s="76">
        <f t="shared" si="235"/>
        <v>-11100000</v>
      </c>
      <c r="G303" s="78">
        <f t="shared" si="235"/>
        <v>-19200000</v>
      </c>
      <c r="H303" s="76">
        <f t="shared" si="235"/>
        <v>-45700000</v>
      </c>
      <c r="I303" s="76">
        <f t="shared" si="235"/>
        <v>-20000000</v>
      </c>
      <c r="J303" s="76">
        <f t="shared" si="235"/>
        <v>-14000000</v>
      </c>
      <c r="K303" s="76">
        <f t="shared" si="235"/>
        <v>-10400000</v>
      </c>
      <c r="L303" s="76">
        <f t="shared" si="235"/>
        <v>-42600000</v>
      </c>
      <c r="M303" s="76">
        <f t="shared" si="235"/>
        <v>-18500000</v>
      </c>
      <c r="N303" s="76">
        <f t="shared" si="235"/>
        <v>-500000</v>
      </c>
      <c r="O303" s="76">
        <f t="shared" si="235"/>
        <v>-1800000</v>
      </c>
      <c r="P303" s="78">
        <f t="shared" si="235"/>
        <v>0</v>
      </c>
      <c r="Q303" s="76">
        <f t="shared" si="235"/>
        <v>-29600000</v>
      </c>
      <c r="R303" s="76">
        <f t="shared" si="235"/>
        <v>-14100000</v>
      </c>
      <c r="S303" s="76">
        <f t="shared" si="235"/>
        <v>-118700000</v>
      </c>
      <c r="T303" s="76">
        <f t="shared" si="235"/>
        <v>-123900000</v>
      </c>
      <c r="U303" s="76">
        <f t="shared" si="235"/>
        <v>-59200000</v>
      </c>
      <c r="V303" s="76">
        <f t="shared" si="235"/>
        <v>-500000</v>
      </c>
      <c r="W303" s="76">
        <f t="shared" si="235"/>
        <v>-500000</v>
      </c>
      <c r="X303" s="76">
        <f t="shared" si="235"/>
        <v>-8400000</v>
      </c>
      <c r="Y303" s="80"/>
      <c r="Z303" s="81"/>
      <c r="AA303" s="81"/>
      <c r="AB303" s="81"/>
    </row>
    <row r="304" spans="1:28" s="44" customFormat="1" ht="25.5" customHeight="1" thickBot="1" x14ac:dyDescent="0.45">
      <c r="A304" s="174"/>
      <c r="B304" s="83" t="s">
        <v>54</v>
      </c>
      <c r="C304" s="84">
        <f>IFERROR(C286/C288,0)</f>
        <v>0.81542346740638005</v>
      </c>
      <c r="D304" s="85">
        <f>IFERROR(D287/D288,0)</f>
        <v>0</v>
      </c>
      <c r="E304" s="84">
        <f t="shared" ref="E304:X304" si="236">IFERROR(E287/E288,0)</f>
        <v>0</v>
      </c>
      <c r="F304" s="84">
        <f t="shared" si="236"/>
        <v>0</v>
      </c>
      <c r="G304" s="86">
        <f t="shared" si="236"/>
        <v>0</v>
      </c>
      <c r="H304" s="84">
        <f t="shared" si="236"/>
        <v>0</v>
      </c>
      <c r="I304" s="84">
        <f t="shared" si="236"/>
        <v>0</v>
      </c>
      <c r="J304" s="84">
        <f t="shared" si="236"/>
        <v>0</v>
      </c>
      <c r="K304" s="84">
        <f t="shared" si="236"/>
        <v>0</v>
      </c>
      <c r="L304" s="84">
        <f t="shared" si="236"/>
        <v>0</v>
      </c>
      <c r="M304" s="84">
        <f t="shared" si="236"/>
        <v>0</v>
      </c>
      <c r="N304" s="84">
        <f t="shared" si="236"/>
        <v>0</v>
      </c>
      <c r="O304" s="84">
        <f t="shared" si="236"/>
        <v>0</v>
      </c>
      <c r="P304" s="86">
        <f t="shared" si="236"/>
        <v>0</v>
      </c>
      <c r="Q304" s="84">
        <f t="shared" si="236"/>
        <v>0</v>
      </c>
      <c r="R304" s="84">
        <f t="shared" si="236"/>
        <v>0</v>
      </c>
      <c r="S304" s="84">
        <f t="shared" si="236"/>
        <v>0</v>
      </c>
      <c r="T304" s="84">
        <f t="shared" si="236"/>
        <v>0</v>
      </c>
      <c r="U304" s="84">
        <f t="shared" si="236"/>
        <v>0</v>
      </c>
      <c r="V304" s="84">
        <f t="shared" si="236"/>
        <v>0</v>
      </c>
      <c r="W304" s="84">
        <f t="shared" si="236"/>
        <v>0</v>
      </c>
      <c r="X304" s="84">
        <f t="shared" si="236"/>
        <v>0</v>
      </c>
      <c r="Y304" s="88"/>
      <c r="Z304" s="43"/>
      <c r="AA304" s="43"/>
      <c r="AB304" s="43"/>
    </row>
    <row r="305" spans="1:30" s="44" customFormat="1" ht="25.5" customHeight="1" thickTop="1" x14ac:dyDescent="0.4">
      <c r="A305" s="175" t="s">
        <v>68</v>
      </c>
      <c r="B305" s="108" t="s">
        <v>29</v>
      </c>
      <c r="C305" s="109">
        <f t="shared" ref="C305:C313" si="237">SUM(D305:X305)</f>
        <v>3908269600</v>
      </c>
      <c r="D305" s="110">
        <f t="shared" ref="D305:N313" si="238">SUM(D5,D30,D55,D80,D105,D130,D155,D180,D205,D230,D255,D280)</f>
        <v>343430200</v>
      </c>
      <c r="E305" s="109">
        <f t="shared" si="238"/>
        <v>651745300</v>
      </c>
      <c r="F305" s="111">
        <f t="shared" si="238"/>
        <v>0</v>
      </c>
      <c r="G305" s="112">
        <f t="shared" si="238"/>
        <v>0</v>
      </c>
      <c r="H305" s="111">
        <f t="shared" si="238"/>
        <v>0</v>
      </c>
      <c r="I305" s="109">
        <f t="shared" si="238"/>
        <v>288441800</v>
      </c>
      <c r="J305" s="109">
        <f t="shared" si="238"/>
        <v>5273000</v>
      </c>
      <c r="K305" s="113">
        <f t="shared" si="238"/>
        <v>546610000</v>
      </c>
      <c r="L305" s="109">
        <f t="shared" si="238"/>
        <v>176418000</v>
      </c>
      <c r="M305" s="109">
        <f t="shared" si="238"/>
        <v>176615600</v>
      </c>
      <c r="N305" s="109">
        <f t="shared" si="238"/>
        <v>25927000</v>
      </c>
      <c r="O305" s="111"/>
      <c r="P305" s="112">
        <f t="shared" ref="P305:W313" si="239">SUM(P5,P30,P55,P80,P105,P130,P155,P180,P205,P230,P255,P280)</f>
        <v>0</v>
      </c>
      <c r="Q305" s="113">
        <f t="shared" si="239"/>
        <v>659317900</v>
      </c>
      <c r="R305" s="111">
        <f t="shared" si="239"/>
        <v>0</v>
      </c>
      <c r="S305" s="113">
        <f t="shared" si="239"/>
        <v>445808000</v>
      </c>
      <c r="T305" s="113">
        <f t="shared" si="239"/>
        <v>588682800</v>
      </c>
      <c r="U305" s="111">
        <f t="shared" si="239"/>
        <v>0</v>
      </c>
      <c r="V305" s="111">
        <f t="shared" si="239"/>
        <v>0</v>
      </c>
      <c r="W305" s="111">
        <f t="shared" si="239"/>
        <v>0</v>
      </c>
      <c r="X305" s="111"/>
      <c r="Y305" s="114"/>
      <c r="AC305" s="115">
        <v>5677455000</v>
      </c>
      <c r="AD305" s="115" t="e">
        <f>#REF!-AC305</f>
        <v>#REF!</v>
      </c>
    </row>
    <row r="306" spans="1:30" s="44" customFormat="1" ht="25.5" customHeight="1" x14ac:dyDescent="0.4">
      <c r="A306" s="170"/>
      <c r="B306" s="108" t="s">
        <v>30</v>
      </c>
      <c r="C306" s="109">
        <f t="shared" si="237"/>
        <v>1328256000</v>
      </c>
      <c r="D306" s="110">
        <f t="shared" si="238"/>
        <v>90218000</v>
      </c>
      <c r="E306" s="109">
        <f t="shared" si="238"/>
        <v>117665200</v>
      </c>
      <c r="F306" s="109">
        <f t="shared" si="238"/>
        <v>124600000</v>
      </c>
      <c r="G306" s="112">
        <f t="shared" si="238"/>
        <v>0</v>
      </c>
      <c r="H306" s="111">
        <f t="shared" si="238"/>
        <v>0</v>
      </c>
      <c r="I306" s="109">
        <f t="shared" si="238"/>
        <v>80500800</v>
      </c>
      <c r="J306" s="111">
        <f t="shared" si="238"/>
        <v>0</v>
      </c>
      <c r="K306" s="113">
        <f t="shared" si="238"/>
        <v>46149000</v>
      </c>
      <c r="L306" s="109">
        <f t="shared" si="238"/>
        <v>72273000</v>
      </c>
      <c r="M306" s="109">
        <f t="shared" si="238"/>
        <v>119527500</v>
      </c>
      <c r="N306" s="109">
        <f t="shared" si="238"/>
        <v>3811000</v>
      </c>
      <c r="O306" s="111"/>
      <c r="P306" s="116">
        <f t="shared" si="239"/>
        <v>89969000</v>
      </c>
      <c r="Q306" s="113">
        <f t="shared" si="239"/>
        <v>44651000</v>
      </c>
      <c r="R306" s="111">
        <f t="shared" si="239"/>
        <v>0</v>
      </c>
      <c r="S306" s="113">
        <f t="shared" si="239"/>
        <v>280177000</v>
      </c>
      <c r="T306" s="113">
        <f t="shared" si="239"/>
        <v>258714500</v>
      </c>
      <c r="U306" s="111">
        <f t="shared" si="239"/>
        <v>0</v>
      </c>
      <c r="V306" s="111">
        <f t="shared" si="239"/>
        <v>0</v>
      </c>
      <c r="W306" s="111">
        <f t="shared" si="239"/>
        <v>0</v>
      </c>
      <c r="X306" s="111"/>
      <c r="Y306" s="114"/>
      <c r="AC306" s="115">
        <v>1614403499.5</v>
      </c>
      <c r="AD306" s="115" t="e">
        <f>#REF!-AC306</f>
        <v>#REF!</v>
      </c>
    </row>
    <row r="307" spans="1:30" s="44" customFormat="1" ht="25.5" customHeight="1" x14ac:dyDescent="0.4">
      <c r="A307" s="170"/>
      <c r="B307" s="21" t="s">
        <v>31</v>
      </c>
      <c r="C307" s="117">
        <f t="shared" si="237"/>
        <v>1708367952</v>
      </c>
      <c r="D307" s="118">
        <f t="shared" si="238"/>
        <v>74347000</v>
      </c>
      <c r="E307" s="117">
        <f t="shared" si="238"/>
        <v>112671500</v>
      </c>
      <c r="F307" s="117">
        <f t="shared" si="238"/>
        <v>71759000</v>
      </c>
      <c r="G307" s="119">
        <f t="shared" si="238"/>
        <v>192308900</v>
      </c>
      <c r="H307" s="104">
        <f t="shared" si="238"/>
        <v>0</v>
      </c>
      <c r="I307" s="117">
        <f t="shared" si="238"/>
        <v>100232600</v>
      </c>
      <c r="J307" s="104">
        <f t="shared" si="238"/>
        <v>0</v>
      </c>
      <c r="K307" s="104">
        <f t="shared" si="238"/>
        <v>0</v>
      </c>
      <c r="L307" s="117">
        <f t="shared" si="238"/>
        <v>117605000</v>
      </c>
      <c r="M307" s="117">
        <f t="shared" si="238"/>
        <v>136099200</v>
      </c>
      <c r="N307" s="117">
        <f t="shared" si="238"/>
        <v>19634000</v>
      </c>
      <c r="O307" s="104"/>
      <c r="P307" s="120">
        <f t="shared" si="239"/>
        <v>105957000</v>
      </c>
      <c r="Q307" s="121">
        <f t="shared" si="239"/>
        <v>133726000</v>
      </c>
      <c r="R307" s="104">
        <f t="shared" si="239"/>
        <v>0</v>
      </c>
      <c r="S307" s="121">
        <f t="shared" si="239"/>
        <v>350289000</v>
      </c>
      <c r="T307" s="121">
        <f t="shared" si="239"/>
        <v>293738752</v>
      </c>
      <c r="U307" s="104">
        <f t="shared" si="239"/>
        <v>0</v>
      </c>
      <c r="V307" s="104">
        <f t="shared" si="239"/>
        <v>0</v>
      </c>
      <c r="W307" s="104">
        <f t="shared" si="239"/>
        <v>0</v>
      </c>
      <c r="X307" s="104"/>
      <c r="Y307" s="105"/>
      <c r="Z307" s="43">
        <f>IFERROR(#REF!/#REF!-1,0)</f>
        <v>0</v>
      </c>
      <c r="AA307" s="43">
        <f>IFERROR(C307/C306-1,0)</f>
        <v>0.28617371350101184</v>
      </c>
      <c r="AB307" s="43">
        <f>IFERROR(#REF!/#REF!-1,0)</f>
        <v>0</v>
      </c>
      <c r="AC307" s="115">
        <v>1996531152</v>
      </c>
      <c r="AD307" s="115" t="e">
        <f>#REF!-AC307</f>
        <v>#REF!</v>
      </c>
    </row>
    <row r="308" spans="1:30" s="44" customFormat="1" ht="25.5" customHeight="1" x14ac:dyDescent="0.4">
      <c r="A308" s="170"/>
      <c r="B308" s="21" t="s">
        <v>56</v>
      </c>
      <c r="C308" s="117">
        <f t="shared" si="237"/>
        <v>5306101556.5</v>
      </c>
      <c r="D308" s="118">
        <f t="shared" si="238"/>
        <v>406881400</v>
      </c>
      <c r="E308" s="117">
        <f t="shared" si="238"/>
        <v>502027000</v>
      </c>
      <c r="F308" s="117">
        <f t="shared" si="238"/>
        <v>448900500</v>
      </c>
      <c r="G308" s="119">
        <f t="shared" si="238"/>
        <v>1427380200</v>
      </c>
      <c r="H308" s="104">
        <f t="shared" si="238"/>
        <v>0</v>
      </c>
      <c r="I308" s="117">
        <f t="shared" si="238"/>
        <v>957000</v>
      </c>
      <c r="J308" s="104">
        <f t="shared" si="238"/>
        <v>0</v>
      </c>
      <c r="K308" s="104">
        <f t="shared" si="238"/>
        <v>0</v>
      </c>
      <c r="L308" s="117">
        <f t="shared" si="238"/>
        <v>223140000</v>
      </c>
      <c r="M308" s="117">
        <f t="shared" si="238"/>
        <v>178685000</v>
      </c>
      <c r="N308" s="117">
        <f t="shared" si="238"/>
        <v>32567219.5</v>
      </c>
      <c r="O308" s="104"/>
      <c r="P308" s="120">
        <f t="shared" si="239"/>
        <v>194678000</v>
      </c>
      <c r="Q308" s="117">
        <f t="shared" si="239"/>
        <v>429090900</v>
      </c>
      <c r="R308" s="104">
        <f t="shared" si="239"/>
        <v>0</v>
      </c>
      <c r="S308" s="121">
        <f t="shared" si="239"/>
        <v>669746989</v>
      </c>
      <c r="T308" s="117">
        <f t="shared" si="239"/>
        <v>792047348</v>
      </c>
      <c r="U308" s="104">
        <f t="shared" si="239"/>
        <v>0</v>
      </c>
      <c r="V308" s="104">
        <f t="shared" si="239"/>
        <v>0</v>
      </c>
      <c r="W308" s="104">
        <f t="shared" si="239"/>
        <v>0</v>
      </c>
      <c r="X308" s="104"/>
      <c r="Y308" s="105"/>
      <c r="Z308" s="43">
        <f>IFERROR(#REF!/#REF!-1,0)</f>
        <v>0</v>
      </c>
      <c r="AA308" s="43">
        <f>IFERROR(C308/C307-1,0)</f>
        <v>2.1059477264766673</v>
      </c>
      <c r="AB308" s="43">
        <f>IFERROR(#REF!/#REF!-1,0)</f>
        <v>0</v>
      </c>
      <c r="AC308" s="115">
        <v>5848814787.5</v>
      </c>
      <c r="AD308" s="115" t="e">
        <f>#REF!-AC308</f>
        <v>#REF!</v>
      </c>
    </row>
    <row r="309" spans="1:30" s="44" customFormat="1" ht="25.5" customHeight="1" x14ac:dyDescent="0.4">
      <c r="A309" s="170"/>
      <c r="B309" s="21" t="s">
        <v>33</v>
      </c>
      <c r="C309" s="117">
        <f t="shared" si="237"/>
        <v>5711954509</v>
      </c>
      <c r="D309" s="118">
        <f t="shared" si="238"/>
        <v>431522000</v>
      </c>
      <c r="E309" s="117">
        <f t="shared" si="238"/>
        <v>521920309</v>
      </c>
      <c r="F309" s="117">
        <f t="shared" si="238"/>
        <v>418003850</v>
      </c>
      <c r="G309" s="119">
        <f t="shared" si="238"/>
        <v>1173977820</v>
      </c>
      <c r="H309" s="117">
        <f t="shared" si="238"/>
        <v>597431930</v>
      </c>
      <c r="I309" s="104">
        <f t="shared" si="238"/>
        <v>0</v>
      </c>
      <c r="J309" s="104">
        <f t="shared" si="238"/>
        <v>0</v>
      </c>
      <c r="K309" s="104">
        <f t="shared" si="238"/>
        <v>0</v>
      </c>
      <c r="L309" s="117">
        <f t="shared" si="238"/>
        <v>213425000</v>
      </c>
      <c r="M309" s="117">
        <f t="shared" si="238"/>
        <v>137080500</v>
      </c>
      <c r="N309" s="117">
        <f t="shared" si="238"/>
        <v>28288040</v>
      </c>
      <c r="O309" s="104"/>
      <c r="P309" s="119">
        <f t="shared" si="239"/>
        <v>208563000</v>
      </c>
      <c r="Q309" s="117">
        <f t="shared" si="239"/>
        <v>207842190</v>
      </c>
      <c r="R309" s="104">
        <f t="shared" si="239"/>
        <v>0</v>
      </c>
      <c r="S309" s="121">
        <f t="shared" si="239"/>
        <v>715518000</v>
      </c>
      <c r="T309" s="117">
        <f t="shared" si="239"/>
        <v>1038607000</v>
      </c>
      <c r="U309" s="104">
        <f t="shared" si="239"/>
        <v>0</v>
      </c>
      <c r="V309" s="104">
        <f t="shared" si="239"/>
        <v>0</v>
      </c>
      <c r="W309" s="104">
        <f t="shared" si="239"/>
        <v>0</v>
      </c>
      <c r="X309" s="117">
        <f>SUM(X9,X34,X59,X84,X109,X134,X159,X184,X209,X234,X259,X284)</f>
        <v>19774870</v>
      </c>
      <c r="Y309" s="105"/>
      <c r="Z309" s="43">
        <f>IFERROR(#REF!/#REF!-1,0)</f>
        <v>0</v>
      </c>
      <c r="AA309" s="43">
        <f>IFERROR(C309/C308-1,0)</f>
        <v>7.6487972983258823E-2</v>
      </c>
      <c r="AB309" s="43">
        <f>IFERROR(#REF!/#REF!-1,0)</f>
        <v>0</v>
      </c>
      <c r="AC309" s="115">
        <v>6159726009</v>
      </c>
      <c r="AD309" s="115" t="e">
        <f>#REF!-AC309</f>
        <v>#REF!</v>
      </c>
    </row>
    <row r="310" spans="1:30" s="44" customFormat="1" ht="25.5" customHeight="1" x14ac:dyDescent="0.4">
      <c r="A310" s="170"/>
      <c r="B310" s="21" t="s">
        <v>34</v>
      </c>
      <c r="C310" s="117">
        <f t="shared" si="237"/>
        <v>5419265769</v>
      </c>
      <c r="D310" s="118">
        <f t="shared" si="238"/>
        <v>382592000</v>
      </c>
      <c r="E310" s="117">
        <f t="shared" si="238"/>
        <v>419427100</v>
      </c>
      <c r="F310" s="117">
        <f t="shared" si="238"/>
        <v>302642900</v>
      </c>
      <c r="G310" s="119">
        <f t="shared" si="238"/>
        <v>1071453220</v>
      </c>
      <c r="H310" s="117">
        <f t="shared" si="238"/>
        <v>736291700</v>
      </c>
      <c r="I310" s="104">
        <f t="shared" si="238"/>
        <v>0</v>
      </c>
      <c r="J310" s="104">
        <f t="shared" si="238"/>
        <v>0</v>
      </c>
      <c r="K310" s="104">
        <f t="shared" si="238"/>
        <v>0</v>
      </c>
      <c r="L310" s="117">
        <f t="shared" si="238"/>
        <v>169196000</v>
      </c>
      <c r="M310" s="117">
        <f t="shared" si="238"/>
        <v>125620519</v>
      </c>
      <c r="N310" s="117">
        <f t="shared" si="238"/>
        <v>23698000</v>
      </c>
      <c r="O310" s="117">
        <f>SUM(O10,O35,O60,O85,O110,O135,O160,O185,O210,O235,O260,O285)</f>
        <v>36520000</v>
      </c>
      <c r="P310" s="119">
        <f t="shared" si="239"/>
        <v>151580000</v>
      </c>
      <c r="Q310" s="104">
        <f t="shared" si="239"/>
        <v>5319300</v>
      </c>
      <c r="R310" s="104">
        <f t="shared" si="239"/>
        <v>0</v>
      </c>
      <c r="S310" s="121">
        <f t="shared" si="239"/>
        <v>708789000</v>
      </c>
      <c r="T310" s="117">
        <f t="shared" si="239"/>
        <v>870057000</v>
      </c>
      <c r="U310" s="104">
        <f t="shared" si="239"/>
        <v>0</v>
      </c>
      <c r="V310" s="104">
        <f t="shared" si="239"/>
        <v>0</v>
      </c>
      <c r="W310" s="104">
        <f t="shared" si="239"/>
        <v>0</v>
      </c>
      <c r="X310" s="117">
        <f>SUM(X10,X35,X60,X85,X110,X135,X160,X185,X210,X235,X260,X285)</f>
        <v>416079030</v>
      </c>
      <c r="Y310" s="105"/>
      <c r="Z310" s="43">
        <f>IFERROR(#REF!/#REF!-1,0)</f>
        <v>0</v>
      </c>
      <c r="AA310" s="43">
        <f>IFERROR(C310/C309-1,0)</f>
        <v>-5.1241434002814112E-2</v>
      </c>
      <c r="AB310" s="43">
        <f>IFERROR(#REF!/#REF!-1,0)</f>
        <v>0</v>
      </c>
    </row>
    <row r="311" spans="1:30" s="44" customFormat="1" ht="25.5" customHeight="1" x14ac:dyDescent="0.4">
      <c r="A311" s="170"/>
      <c r="B311" s="30" t="s">
        <v>57</v>
      </c>
      <c r="C311" s="38">
        <f t="shared" si="237"/>
        <v>6495729904</v>
      </c>
      <c r="D311" s="39">
        <f t="shared" si="238"/>
        <v>370716000</v>
      </c>
      <c r="E311" s="38">
        <f t="shared" si="238"/>
        <v>359975500</v>
      </c>
      <c r="F311" s="38">
        <f t="shared" si="238"/>
        <v>349016600</v>
      </c>
      <c r="G311" s="40">
        <f t="shared" si="238"/>
        <v>1035124100</v>
      </c>
      <c r="H311" s="38">
        <f t="shared" si="238"/>
        <v>972911350</v>
      </c>
      <c r="I311" s="41">
        <f t="shared" si="238"/>
        <v>0</v>
      </c>
      <c r="J311" s="41">
        <f t="shared" si="238"/>
        <v>0</v>
      </c>
      <c r="K311" s="38">
        <f t="shared" si="238"/>
        <v>260682500</v>
      </c>
      <c r="L311" s="38">
        <f t="shared" si="238"/>
        <v>386863000</v>
      </c>
      <c r="M311" s="38">
        <f t="shared" si="238"/>
        <v>126766500</v>
      </c>
      <c r="N311" s="38">
        <f t="shared" si="238"/>
        <v>16382000</v>
      </c>
      <c r="O311" s="38">
        <f>SUM(O11,O36,O61,O86,O111,O136,O161,O186,O211,O236,O261,O286)</f>
        <v>10953000</v>
      </c>
      <c r="P311" s="40">
        <f t="shared" si="239"/>
        <v>131675000</v>
      </c>
      <c r="Q311" s="41">
        <f t="shared" si="239"/>
        <v>0</v>
      </c>
      <c r="R311" s="38">
        <f t="shared" si="239"/>
        <v>24456000</v>
      </c>
      <c r="S311" s="38">
        <f t="shared" si="239"/>
        <v>766117000</v>
      </c>
      <c r="T311" s="38">
        <f t="shared" si="239"/>
        <v>902994000</v>
      </c>
      <c r="U311" s="38">
        <f t="shared" si="239"/>
        <v>301125000</v>
      </c>
      <c r="V311" s="38">
        <f t="shared" si="239"/>
        <v>0</v>
      </c>
      <c r="W311" s="38">
        <f t="shared" si="239"/>
        <v>2407000</v>
      </c>
      <c r="X311" s="38">
        <f>SUM(X11,X36,X61,X86,X111,X136,X161,X186,X211,X236,X261,X286)</f>
        <v>477565354</v>
      </c>
      <c r="Y311" s="42"/>
      <c r="Z311" s="43"/>
      <c r="AA311" s="43"/>
      <c r="AB311" s="43"/>
    </row>
    <row r="312" spans="1:30" s="44" customFormat="1" ht="25.5" customHeight="1" x14ac:dyDescent="0.4">
      <c r="A312" s="170"/>
      <c r="B312" s="37" t="s">
        <v>69</v>
      </c>
      <c r="C312" s="38">
        <f t="shared" si="237"/>
        <v>6432108615.4838715</v>
      </c>
      <c r="D312" s="39">
        <f t="shared" si="238"/>
        <v>386299000</v>
      </c>
      <c r="E312" s="38">
        <f t="shared" si="238"/>
        <v>306626000</v>
      </c>
      <c r="F312" s="38">
        <f t="shared" si="238"/>
        <v>266471000</v>
      </c>
      <c r="G312" s="40">
        <f t="shared" si="238"/>
        <v>913348200</v>
      </c>
      <c r="H312" s="38">
        <f t="shared" si="238"/>
        <v>897652378</v>
      </c>
      <c r="I312" s="38">
        <f t="shared" si="238"/>
        <v>120347000</v>
      </c>
      <c r="J312" s="38">
        <f t="shared" si="238"/>
        <v>88276010</v>
      </c>
      <c r="K312" s="38">
        <f t="shared" si="238"/>
        <v>258818900</v>
      </c>
      <c r="L312" s="38">
        <f t="shared" si="238"/>
        <v>264642000</v>
      </c>
      <c r="M312" s="38">
        <f t="shared" si="238"/>
        <v>243848500</v>
      </c>
      <c r="N312" s="38">
        <f t="shared" si="238"/>
        <v>11572000</v>
      </c>
      <c r="O312" s="38">
        <f>SUM(O12,O37,O62,O87,O112,O137,O162,O187,O212,O237,O262,O287)</f>
        <v>5959000</v>
      </c>
      <c r="P312" s="40">
        <f t="shared" si="239"/>
        <v>97356000</v>
      </c>
      <c r="Q312" s="38">
        <f t="shared" si="239"/>
        <v>113095000</v>
      </c>
      <c r="R312" s="38">
        <f t="shared" si="239"/>
        <v>100334935.48387097</v>
      </c>
      <c r="S312" s="38">
        <f t="shared" si="239"/>
        <v>685875000</v>
      </c>
      <c r="T312" s="38">
        <f t="shared" si="239"/>
        <v>906256000</v>
      </c>
      <c r="U312" s="38">
        <f t="shared" si="239"/>
        <v>384519900</v>
      </c>
      <c r="V312" s="38">
        <f t="shared" si="239"/>
        <v>1338000</v>
      </c>
      <c r="W312" s="38">
        <f t="shared" si="239"/>
        <v>3684000</v>
      </c>
      <c r="X312" s="38">
        <f>SUM(X12,X37,X62,X87,X112,X137,X162,X187,X212,X237,X262,X287)</f>
        <v>375789792</v>
      </c>
      <c r="Y312" s="42"/>
      <c r="Z312" s="43"/>
      <c r="AA312" s="43"/>
      <c r="AB312" s="43"/>
    </row>
    <row r="313" spans="1:30" s="44" customFormat="1" ht="25.5" customHeight="1" x14ac:dyDescent="0.4">
      <c r="A313" s="170"/>
      <c r="B313" s="45" t="s">
        <v>37</v>
      </c>
      <c r="C313" s="46">
        <f t="shared" si="237"/>
        <v>8649400000</v>
      </c>
      <c r="D313" s="47">
        <f t="shared" si="238"/>
        <v>378700000</v>
      </c>
      <c r="E313" s="46">
        <f t="shared" si="238"/>
        <v>367700000</v>
      </c>
      <c r="F313" s="46">
        <f t="shared" si="238"/>
        <v>357500000</v>
      </c>
      <c r="G313" s="48">
        <f t="shared" si="238"/>
        <v>1077000000</v>
      </c>
      <c r="H313" s="46">
        <f t="shared" si="238"/>
        <v>1022200000</v>
      </c>
      <c r="I313" s="46">
        <f t="shared" si="238"/>
        <v>208200000</v>
      </c>
      <c r="J313" s="46">
        <f t="shared" si="238"/>
        <v>146100000</v>
      </c>
      <c r="K313" s="46">
        <f t="shared" si="238"/>
        <v>438700000</v>
      </c>
      <c r="L313" s="46">
        <f t="shared" si="238"/>
        <v>487300000</v>
      </c>
      <c r="M313" s="46">
        <f t="shared" si="238"/>
        <v>301200000</v>
      </c>
      <c r="N313" s="46">
        <f t="shared" si="238"/>
        <v>17600000</v>
      </c>
      <c r="O313" s="46">
        <f>SUM(O13,O38,O63,O88,O113,O138,O163,O188,O213,O238,O263,O288)</f>
        <v>11800000</v>
      </c>
      <c r="P313" s="48">
        <f t="shared" si="239"/>
        <v>134700000</v>
      </c>
      <c r="Q313" s="46">
        <f t="shared" si="239"/>
        <v>216900000</v>
      </c>
      <c r="R313" s="46">
        <f t="shared" si="239"/>
        <v>177500000</v>
      </c>
      <c r="S313" s="46">
        <f t="shared" si="239"/>
        <v>937700000</v>
      </c>
      <c r="T313" s="46">
        <f t="shared" si="239"/>
        <v>1231400000</v>
      </c>
      <c r="U313" s="46">
        <f t="shared" si="239"/>
        <v>606700000</v>
      </c>
      <c r="V313" s="46">
        <f t="shared" si="239"/>
        <v>21000000</v>
      </c>
      <c r="W313" s="46">
        <f t="shared" si="239"/>
        <v>7300000</v>
      </c>
      <c r="X313" s="46">
        <f>SUM(X13,X38,X63,X88,X113,X138,X163,X188,X213,X238,X263,X288)</f>
        <v>502200000</v>
      </c>
      <c r="Y313" s="51" t="s">
        <v>38</v>
      </c>
      <c r="Z313" s="122">
        <f>U313/1.1</f>
        <v>551545454.5454545</v>
      </c>
      <c r="AA313" s="43"/>
      <c r="AB313" s="43"/>
    </row>
    <row r="314" spans="1:30" s="59" customFormat="1" ht="25.5" customHeight="1" x14ac:dyDescent="0.4">
      <c r="A314" s="170"/>
      <c r="B314" s="12" t="s">
        <v>39</v>
      </c>
      <c r="C314" s="52">
        <f>SUM(D314:X314)</f>
        <v>2523839015.483871</v>
      </c>
      <c r="D314" s="53">
        <f>D312-D305</f>
        <v>42868800</v>
      </c>
      <c r="E314" s="52">
        <f t="shared" ref="E314:X314" si="240">E312-E305</f>
        <v>-345119300</v>
      </c>
      <c r="F314" s="54">
        <f t="shared" si="240"/>
        <v>266471000</v>
      </c>
      <c r="G314" s="55">
        <f t="shared" si="240"/>
        <v>913348200</v>
      </c>
      <c r="H314" s="54">
        <f t="shared" si="240"/>
        <v>897652378</v>
      </c>
      <c r="I314" s="52">
        <f t="shared" si="240"/>
        <v>-168094800</v>
      </c>
      <c r="J314" s="52">
        <f t="shared" si="240"/>
        <v>83003010</v>
      </c>
      <c r="K314" s="56">
        <f t="shared" si="240"/>
        <v>-287791100</v>
      </c>
      <c r="L314" s="52">
        <f t="shared" si="240"/>
        <v>88224000</v>
      </c>
      <c r="M314" s="52">
        <f t="shared" si="240"/>
        <v>67232900</v>
      </c>
      <c r="N314" s="52">
        <f t="shared" si="240"/>
        <v>-14355000</v>
      </c>
      <c r="O314" s="54">
        <f t="shared" si="240"/>
        <v>5959000</v>
      </c>
      <c r="P314" s="55">
        <f t="shared" si="240"/>
        <v>97356000</v>
      </c>
      <c r="Q314" s="56">
        <f t="shared" si="240"/>
        <v>-546222900</v>
      </c>
      <c r="R314" s="54">
        <f t="shared" si="240"/>
        <v>100334935.48387097</v>
      </c>
      <c r="S314" s="56">
        <f t="shared" si="240"/>
        <v>240067000</v>
      </c>
      <c r="T314" s="56">
        <f t="shared" si="240"/>
        <v>317573200</v>
      </c>
      <c r="U314" s="54">
        <f t="shared" si="240"/>
        <v>384519900</v>
      </c>
      <c r="V314" s="54">
        <f t="shared" si="240"/>
        <v>1338000</v>
      </c>
      <c r="W314" s="54">
        <f t="shared" si="240"/>
        <v>3684000</v>
      </c>
      <c r="X314" s="54">
        <f t="shared" si="240"/>
        <v>375789792</v>
      </c>
      <c r="Y314" s="57"/>
      <c r="Z314" s="58"/>
      <c r="AA314" s="58"/>
      <c r="AB314" s="58"/>
    </row>
    <row r="315" spans="1:30" s="20" customFormat="1" ht="25.5" customHeight="1" x14ac:dyDescent="0.4">
      <c r="A315" s="170"/>
      <c r="B315" s="21" t="s">
        <v>40</v>
      </c>
      <c r="C315" s="60">
        <f>IFERROR(C311/C305,0)</f>
        <v>1.6620475475898593</v>
      </c>
      <c r="D315" s="61">
        <f>IFERROR(D312/D305,0)</f>
        <v>1.1248253648048425</v>
      </c>
      <c r="E315" s="60">
        <f t="shared" ref="E315:X315" si="241">IFERROR(E312/E305,0)</f>
        <v>0.47046906207071998</v>
      </c>
      <c r="F315" s="62">
        <f t="shared" si="241"/>
        <v>0</v>
      </c>
      <c r="G315" s="63">
        <f t="shared" si="241"/>
        <v>0</v>
      </c>
      <c r="H315" s="62">
        <f t="shared" si="241"/>
        <v>0</v>
      </c>
      <c r="I315" s="60">
        <f t="shared" si="241"/>
        <v>0.41723148309294977</v>
      </c>
      <c r="J315" s="60">
        <f t="shared" si="241"/>
        <v>16.741135975725392</v>
      </c>
      <c r="K315" s="64">
        <f t="shared" si="241"/>
        <v>0.47349828945683392</v>
      </c>
      <c r="L315" s="60">
        <f t="shared" si="241"/>
        <v>1.5000850253375506</v>
      </c>
      <c r="M315" s="60">
        <f t="shared" si="241"/>
        <v>1.3806736211297304</v>
      </c>
      <c r="N315" s="60">
        <f t="shared" si="241"/>
        <v>0.44633008061094614</v>
      </c>
      <c r="O315" s="62">
        <f t="shared" si="241"/>
        <v>0</v>
      </c>
      <c r="P315" s="63">
        <f t="shared" si="241"/>
        <v>0</v>
      </c>
      <c r="Q315" s="64">
        <f t="shared" si="241"/>
        <v>0.17153333771159557</v>
      </c>
      <c r="R315" s="62">
        <f t="shared" si="241"/>
        <v>0</v>
      </c>
      <c r="S315" s="64">
        <f t="shared" si="241"/>
        <v>1.5384986361841868</v>
      </c>
      <c r="T315" s="64">
        <f t="shared" si="241"/>
        <v>1.5394640373389541</v>
      </c>
      <c r="U315" s="62">
        <f t="shared" si="241"/>
        <v>0</v>
      </c>
      <c r="V315" s="62">
        <f t="shared" si="241"/>
        <v>0</v>
      </c>
      <c r="W315" s="62">
        <f t="shared" si="241"/>
        <v>0</v>
      </c>
      <c r="X315" s="62">
        <f t="shared" si="241"/>
        <v>0</v>
      </c>
      <c r="Y315" s="65"/>
      <c r="Z315" s="19"/>
      <c r="AA315" s="19"/>
      <c r="AB315" s="19"/>
    </row>
    <row r="316" spans="1:30" s="59" customFormat="1" ht="25.5" customHeight="1" x14ac:dyDescent="0.4">
      <c r="A316" s="170"/>
      <c r="B316" s="21" t="s">
        <v>41</v>
      </c>
      <c r="C316" s="66">
        <f>SUM(D316:X316)</f>
        <v>5103852615.4838715</v>
      </c>
      <c r="D316" s="67">
        <f>D312-D306</f>
        <v>296081000</v>
      </c>
      <c r="E316" s="66">
        <f t="shared" ref="E316:X316" si="242">E312-E306</f>
        <v>188960800</v>
      </c>
      <c r="F316" s="66">
        <f t="shared" si="242"/>
        <v>141871000</v>
      </c>
      <c r="G316" s="68">
        <f t="shared" si="242"/>
        <v>913348200</v>
      </c>
      <c r="H316" s="69">
        <f t="shared" si="242"/>
        <v>897652378</v>
      </c>
      <c r="I316" s="66">
        <f t="shared" si="242"/>
        <v>39846200</v>
      </c>
      <c r="J316" s="69">
        <f t="shared" si="242"/>
        <v>88276010</v>
      </c>
      <c r="K316" s="70">
        <f t="shared" si="242"/>
        <v>212669900</v>
      </c>
      <c r="L316" s="66">
        <f t="shared" si="242"/>
        <v>192369000</v>
      </c>
      <c r="M316" s="66">
        <f t="shared" si="242"/>
        <v>124321000</v>
      </c>
      <c r="N316" s="66">
        <f t="shared" si="242"/>
        <v>7761000</v>
      </c>
      <c r="O316" s="69">
        <f t="shared" si="242"/>
        <v>5959000</v>
      </c>
      <c r="P316" s="68">
        <f t="shared" si="242"/>
        <v>7387000</v>
      </c>
      <c r="Q316" s="70">
        <f t="shared" si="242"/>
        <v>68444000</v>
      </c>
      <c r="R316" s="69">
        <f t="shared" si="242"/>
        <v>100334935.48387097</v>
      </c>
      <c r="S316" s="70">
        <f t="shared" si="242"/>
        <v>405698000</v>
      </c>
      <c r="T316" s="70">
        <f t="shared" si="242"/>
        <v>647541500</v>
      </c>
      <c r="U316" s="69">
        <f t="shared" si="242"/>
        <v>384519900</v>
      </c>
      <c r="V316" s="69">
        <f t="shared" si="242"/>
        <v>1338000</v>
      </c>
      <c r="W316" s="69">
        <f t="shared" si="242"/>
        <v>3684000</v>
      </c>
      <c r="X316" s="69">
        <f t="shared" si="242"/>
        <v>375789792</v>
      </c>
      <c r="Y316" s="27"/>
      <c r="Z316" s="58"/>
      <c r="AA316" s="58"/>
      <c r="AB316" s="58"/>
    </row>
    <row r="317" spans="1:30" s="20" customFormat="1" ht="25.5" customHeight="1" x14ac:dyDescent="0.4">
      <c r="A317" s="170"/>
      <c r="B317" s="21" t="s">
        <v>42</v>
      </c>
      <c r="C317" s="60">
        <f>IFERROR(C311/C306,0)</f>
        <v>4.890420147923292</v>
      </c>
      <c r="D317" s="61">
        <f>IFERROR(D312/D306,0)</f>
        <v>4.2818395442151234</v>
      </c>
      <c r="E317" s="60">
        <f t="shared" ref="E317:X317" si="243">IFERROR(E312/E306,0)</f>
        <v>2.6059191672644078</v>
      </c>
      <c r="F317" s="60">
        <f t="shared" si="243"/>
        <v>2.1386115569823434</v>
      </c>
      <c r="G317" s="63">
        <f t="shared" si="243"/>
        <v>0</v>
      </c>
      <c r="H317" s="62">
        <f t="shared" si="243"/>
        <v>0</v>
      </c>
      <c r="I317" s="60">
        <f t="shared" si="243"/>
        <v>1.4949789318863911</v>
      </c>
      <c r="J317" s="62">
        <f t="shared" si="243"/>
        <v>0</v>
      </c>
      <c r="K317" s="64">
        <f t="shared" si="243"/>
        <v>5.60833170816269</v>
      </c>
      <c r="L317" s="60">
        <f t="shared" si="243"/>
        <v>3.6616993898136232</v>
      </c>
      <c r="M317" s="60">
        <f t="shared" si="243"/>
        <v>2.0401037418167367</v>
      </c>
      <c r="N317" s="60">
        <f t="shared" si="243"/>
        <v>3.036473366570454</v>
      </c>
      <c r="O317" s="62">
        <f t="shared" si="243"/>
        <v>0</v>
      </c>
      <c r="P317" s="63">
        <f t="shared" si="243"/>
        <v>1.0821060587535707</v>
      </c>
      <c r="Q317" s="64">
        <f t="shared" si="243"/>
        <v>2.5328660052406442</v>
      </c>
      <c r="R317" s="62">
        <f t="shared" si="243"/>
        <v>0</v>
      </c>
      <c r="S317" s="64">
        <f t="shared" si="243"/>
        <v>2.4480060818696754</v>
      </c>
      <c r="T317" s="64">
        <f t="shared" si="243"/>
        <v>3.5029192410939474</v>
      </c>
      <c r="U317" s="62">
        <f t="shared" si="243"/>
        <v>0</v>
      </c>
      <c r="V317" s="62">
        <f t="shared" si="243"/>
        <v>0</v>
      </c>
      <c r="W317" s="62">
        <f t="shared" si="243"/>
        <v>0</v>
      </c>
      <c r="X317" s="62">
        <f t="shared" si="243"/>
        <v>0</v>
      </c>
      <c r="Y317" s="65"/>
      <c r="Z317" s="123">
        <f>X311*105%</f>
        <v>501443621.70000005</v>
      </c>
      <c r="AA317" s="19"/>
      <c r="AB317" s="19"/>
    </row>
    <row r="318" spans="1:30" s="59" customFormat="1" ht="25.5" customHeight="1" x14ac:dyDescent="0.4">
      <c r="A318" s="170"/>
      <c r="B318" s="21" t="s">
        <v>43</v>
      </c>
      <c r="C318" s="66">
        <f>SUM(D318:X318)</f>
        <v>4723740663.4838715</v>
      </c>
      <c r="D318" s="67">
        <f>D312-D307</f>
        <v>311952000</v>
      </c>
      <c r="E318" s="66">
        <f t="shared" ref="E318:X318" si="244">E312-E307</f>
        <v>193954500</v>
      </c>
      <c r="F318" s="66">
        <f t="shared" si="244"/>
        <v>194712000</v>
      </c>
      <c r="G318" s="71">
        <f t="shared" si="244"/>
        <v>721039300</v>
      </c>
      <c r="H318" s="69">
        <f t="shared" si="244"/>
        <v>897652378</v>
      </c>
      <c r="I318" s="66">
        <f t="shared" si="244"/>
        <v>20114400</v>
      </c>
      <c r="J318" s="69">
        <f t="shared" si="244"/>
        <v>88276010</v>
      </c>
      <c r="K318" s="25">
        <f t="shared" si="244"/>
        <v>258818900</v>
      </c>
      <c r="L318" s="66">
        <f t="shared" si="244"/>
        <v>147037000</v>
      </c>
      <c r="M318" s="66">
        <f t="shared" si="244"/>
        <v>107749300</v>
      </c>
      <c r="N318" s="66">
        <f t="shared" si="244"/>
        <v>-8062000</v>
      </c>
      <c r="O318" s="69">
        <f t="shared" si="244"/>
        <v>5959000</v>
      </c>
      <c r="P318" s="72">
        <f t="shared" si="244"/>
        <v>-8601000</v>
      </c>
      <c r="Q318" s="70">
        <f t="shared" si="244"/>
        <v>-20631000</v>
      </c>
      <c r="R318" s="69">
        <f t="shared" si="244"/>
        <v>100334935.48387097</v>
      </c>
      <c r="S318" s="70">
        <f t="shared" si="244"/>
        <v>335586000</v>
      </c>
      <c r="T318" s="70">
        <f t="shared" si="244"/>
        <v>612517248</v>
      </c>
      <c r="U318" s="69">
        <f t="shared" si="244"/>
        <v>384519900</v>
      </c>
      <c r="V318" s="69">
        <f t="shared" si="244"/>
        <v>1338000</v>
      </c>
      <c r="W318" s="69">
        <f t="shared" si="244"/>
        <v>3684000</v>
      </c>
      <c r="X318" s="69">
        <f t="shared" si="244"/>
        <v>375789792</v>
      </c>
      <c r="Y318" s="27"/>
      <c r="Z318" s="58"/>
      <c r="AA318" s="58"/>
      <c r="AB318" s="58"/>
    </row>
    <row r="319" spans="1:30" s="20" customFormat="1" ht="25.5" customHeight="1" x14ac:dyDescent="0.4">
      <c r="A319" s="170"/>
      <c r="B319" s="21" t="s">
        <v>44</v>
      </c>
      <c r="C319" s="60">
        <f>IFERROR(C311/C307,0)</f>
        <v>3.8023014283283629</v>
      </c>
      <c r="D319" s="61">
        <f>IFERROR(D312/D307,0)</f>
        <v>5.1958922350599215</v>
      </c>
      <c r="E319" s="60">
        <f t="shared" ref="E319:X319" si="245">IFERROR(E312/E307,0)</f>
        <v>2.7214157972513013</v>
      </c>
      <c r="F319" s="60">
        <f t="shared" si="245"/>
        <v>3.7134157387923468</v>
      </c>
      <c r="G319" s="73">
        <f t="shared" si="245"/>
        <v>4.7493808138884885</v>
      </c>
      <c r="H319" s="62">
        <f t="shared" si="245"/>
        <v>0</v>
      </c>
      <c r="I319" s="60">
        <f t="shared" si="245"/>
        <v>1.2006772247751729</v>
      </c>
      <c r="J319" s="62">
        <f t="shared" si="245"/>
        <v>0</v>
      </c>
      <c r="K319" s="62">
        <f t="shared" si="245"/>
        <v>0</v>
      </c>
      <c r="L319" s="60">
        <f t="shared" si="245"/>
        <v>2.2502614684749798</v>
      </c>
      <c r="M319" s="60">
        <f t="shared" si="245"/>
        <v>1.7916967917518987</v>
      </c>
      <c r="N319" s="60">
        <f t="shared" si="245"/>
        <v>0.58938575939696447</v>
      </c>
      <c r="O319" s="62">
        <f t="shared" si="245"/>
        <v>0</v>
      </c>
      <c r="P319" s="74">
        <f t="shared" si="245"/>
        <v>0.91882556131260795</v>
      </c>
      <c r="Q319" s="64">
        <f t="shared" si="245"/>
        <v>0.84572184915424076</v>
      </c>
      <c r="R319" s="62">
        <f t="shared" si="245"/>
        <v>0</v>
      </c>
      <c r="S319" s="64">
        <f t="shared" si="245"/>
        <v>1.9580260870309945</v>
      </c>
      <c r="T319" s="64">
        <f t="shared" si="245"/>
        <v>3.0852449458217892</v>
      </c>
      <c r="U319" s="62">
        <f t="shared" si="245"/>
        <v>0</v>
      </c>
      <c r="V319" s="62">
        <f t="shared" si="245"/>
        <v>0</v>
      </c>
      <c r="W319" s="62">
        <f t="shared" si="245"/>
        <v>0</v>
      </c>
      <c r="X319" s="62">
        <f t="shared" si="245"/>
        <v>0</v>
      </c>
      <c r="Y319" s="65"/>
      <c r="Z319" s="19"/>
      <c r="AA319" s="19"/>
      <c r="AB319" s="19"/>
    </row>
    <row r="320" spans="1:30" s="59" customFormat="1" ht="25.5" customHeight="1" x14ac:dyDescent="0.4">
      <c r="A320" s="170"/>
      <c r="B320" s="21" t="s">
        <v>45</v>
      </c>
      <c r="C320" s="66">
        <f>SUM(D320:X320)</f>
        <v>1126007058.983871</v>
      </c>
      <c r="D320" s="67">
        <f>D312-D308</f>
        <v>-20582400</v>
      </c>
      <c r="E320" s="66">
        <f t="shared" ref="E320:X320" si="246">E312-E308</f>
        <v>-195401000</v>
      </c>
      <c r="F320" s="66">
        <f t="shared" si="246"/>
        <v>-182429500</v>
      </c>
      <c r="G320" s="71">
        <f t="shared" si="246"/>
        <v>-514032000</v>
      </c>
      <c r="H320" s="69">
        <f t="shared" si="246"/>
        <v>897652378</v>
      </c>
      <c r="I320" s="66">
        <f t="shared" si="246"/>
        <v>119390000</v>
      </c>
      <c r="J320" s="69">
        <f t="shared" si="246"/>
        <v>88276010</v>
      </c>
      <c r="K320" s="25">
        <f t="shared" si="246"/>
        <v>258818900</v>
      </c>
      <c r="L320" s="66">
        <f t="shared" si="246"/>
        <v>41502000</v>
      </c>
      <c r="M320" s="66">
        <f t="shared" si="246"/>
        <v>65163500</v>
      </c>
      <c r="N320" s="66">
        <f t="shared" si="246"/>
        <v>-20995219.5</v>
      </c>
      <c r="O320" s="69">
        <f t="shared" si="246"/>
        <v>5959000</v>
      </c>
      <c r="P320" s="72">
        <f t="shared" si="246"/>
        <v>-97322000</v>
      </c>
      <c r="Q320" s="70">
        <f t="shared" si="246"/>
        <v>-315995900</v>
      </c>
      <c r="R320" s="69">
        <f t="shared" si="246"/>
        <v>100334935.48387097</v>
      </c>
      <c r="S320" s="70">
        <f t="shared" si="246"/>
        <v>16128011</v>
      </c>
      <c r="T320" s="70">
        <f t="shared" si="246"/>
        <v>114208652</v>
      </c>
      <c r="U320" s="69">
        <f t="shared" si="246"/>
        <v>384519900</v>
      </c>
      <c r="V320" s="69">
        <f t="shared" si="246"/>
        <v>1338000</v>
      </c>
      <c r="W320" s="69">
        <f t="shared" si="246"/>
        <v>3684000</v>
      </c>
      <c r="X320" s="69">
        <f t="shared" si="246"/>
        <v>375789792</v>
      </c>
      <c r="Y320" s="27"/>
      <c r="Z320" s="58"/>
      <c r="AA320" s="58"/>
      <c r="AB320" s="58"/>
    </row>
    <row r="321" spans="1:29" s="20" customFormat="1" ht="25.5" customHeight="1" x14ac:dyDescent="0.4">
      <c r="A321" s="170"/>
      <c r="B321" s="21" t="s">
        <v>46</v>
      </c>
      <c r="C321" s="60">
        <f>IFERROR(C311/C308,0)</f>
        <v>1.2242000713391359</v>
      </c>
      <c r="D321" s="61">
        <f>IFERROR(D312/D308,0)</f>
        <v>0.94941425191714346</v>
      </c>
      <c r="E321" s="60">
        <f t="shared" ref="E321:X321" si="247">IFERROR(E312/E308,0)</f>
        <v>0.61077591444284873</v>
      </c>
      <c r="F321" s="60">
        <f t="shared" si="247"/>
        <v>0.59360816038298014</v>
      </c>
      <c r="G321" s="73">
        <f t="shared" si="247"/>
        <v>0.63987730809212573</v>
      </c>
      <c r="H321" s="62">
        <f t="shared" si="247"/>
        <v>0</v>
      </c>
      <c r="I321" s="60">
        <f t="shared" si="247"/>
        <v>125.75444096133751</v>
      </c>
      <c r="J321" s="62">
        <f t="shared" si="247"/>
        <v>0</v>
      </c>
      <c r="K321" s="62">
        <f t="shared" si="247"/>
        <v>0</v>
      </c>
      <c r="L321" s="60">
        <f t="shared" si="247"/>
        <v>1.1859908577574616</v>
      </c>
      <c r="M321" s="60">
        <f t="shared" si="247"/>
        <v>1.3646836611914823</v>
      </c>
      <c r="N321" s="60">
        <f t="shared" si="247"/>
        <v>0.35532661914843544</v>
      </c>
      <c r="O321" s="62">
        <f t="shared" si="247"/>
        <v>0</v>
      </c>
      <c r="P321" s="74">
        <f t="shared" si="247"/>
        <v>0.50008732368321018</v>
      </c>
      <c r="Q321" s="64">
        <f t="shared" si="247"/>
        <v>0.26356886151628944</v>
      </c>
      <c r="R321" s="62">
        <f t="shared" si="247"/>
        <v>0</v>
      </c>
      <c r="S321" s="64">
        <f t="shared" si="247"/>
        <v>1.0240807517837158</v>
      </c>
      <c r="T321" s="64">
        <f t="shared" si="247"/>
        <v>1.1441942230958648</v>
      </c>
      <c r="U321" s="62">
        <f t="shared" si="247"/>
        <v>0</v>
      </c>
      <c r="V321" s="62">
        <f t="shared" si="247"/>
        <v>0</v>
      </c>
      <c r="W321" s="62">
        <f t="shared" si="247"/>
        <v>0</v>
      </c>
      <c r="X321" s="62">
        <f t="shared" si="247"/>
        <v>0</v>
      </c>
      <c r="Y321" s="65"/>
      <c r="Z321" s="19"/>
      <c r="AA321" s="19"/>
      <c r="AB321" s="19"/>
    </row>
    <row r="322" spans="1:29" s="59" customFormat="1" ht="25.5" customHeight="1" x14ac:dyDescent="0.4">
      <c r="A322" s="170"/>
      <c r="B322" s="21" t="s">
        <v>47</v>
      </c>
      <c r="C322" s="66">
        <f>SUM(D322:X322)</f>
        <v>720154106.48387098</v>
      </c>
      <c r="D322" s="67">
        <f>D312-D309</f>
        <v>-45223000</v>
      </c>
      <c r="E322" s="66">
        <f t="shared" ref="E322:X322" si="248">E312-E309</f>
        <v>-215294309</v>
      </c>
      <c r="F322" s="66">
        <f t="shared" si="248"/>
        <v>-151532850</v>
      </c>
      <c r="G322" s="71">
        <f t="shared" si="248"/>
        <v>-260629620</v>
      </c>
      <c r="H322" s="69">
        <f t="shared" si="248"/>
        <v>300220448</v>
      </c>
      <c r="I322" s="69">
        <f t="shared" si="248"/>
        <v>120347000</v>
      </c>
      <c r="J322" s="69">
        <f t="shared" si="248"/>
        <v>88276010</v>
      </c>
      <c r="K322" s="25">
        <f t="shared" si="248"/>
        <v>258818900</v>
      </c>
      <c r="L322" s="66">
        <f t="shared" si="248"/>
        <v>51217000</v>
      </c>
      <c r="M322" s="66">
        <f t="shared" si="248"/>
        <v>106768000</v>
      </c>
      <c r="N322" s="66">
        <f t="shared" si="248"/>
        <v>-16716040</v>
      </c>
      <c r="O322" s="69">
        <f t="shared" si="248"/>
        <v>5959000</v>
      </c>
      <c r="P322" s="72">
        <f t="shared" si="248"/>
        <v>-111207000</v>
      </c>
      <c r="Q322" s="66">
        <f t="shared" si="248"/>
        <v>-94747190</v>
      </c>
      <c r="R322" s="69">
        <f t="shared" si="248"/>
        <v>100334935.48387097</v>
      </c>
      <c r="S322" s="70">
        <f t="shared" si="248"/>
        <v>-29643000</v>
      </c>
      <c r="T322" s="66">
        <f t="shared" si="248"/>
        <v>-132351000</v>
      </c>
      <c r="U322" s="69">
        <f t="shared" si="248"/>
        <v>384519900</v>
      </c>
      <c r="V322" s="69">
        <f t="shared" si="248"/>
        <v>1338000</v>
      </c>
      <c r="W322" s="69">
        <f t="shared" si="248"/>
        <v>3684000</v>
      </c>
      <c r="X322" s="69">
        <f t="shared" si="248"/>
        <v>356014922</v>
      </c>
      <c r="Y322" s="27"/>
      <c r="Z322" s="58"/>
      <c r="AA322" s="58"/>
      <c r="AB322" s="58"/>
    </row>
    <row r="323" spans="1:29" s="20" customFormat="1" ht="25.5" customHeight="1" x14ac:dyDescent="0.4">
      <c r="A323" s="170"/>
      <c r="B323" s="21" t="s">
        <v>48</v>
      </c>
      <c r="C323" s="60">
        <f>IFERROR(C311/C309,0)</f>
        <v>1.1372166731659101</v>
      </c>
      <c r="D323" s="61">
        <f>IFERROR(D312/D309,0)</f>
        <v>0.89520117166679802</v>
      </c>
      <c r="E323" s="60">
        <f t="shared" ref="E323:X323" si="249">IFERROR(E312/E309,0)</f>
        <v>0.58749582017127444</v>
      </c>
      <c r="F323" s="60">
        <f t="shared" si="249"/>
        <v>0.63748455905370249</v>
      </c>
      <c r="G323" s="73">
        <f t="shared" si="249"/>
        <v>0.7779944258231386</v>
      </c>
      <c r="H323" s="62">
        <f t="shared" si="249"/>
        <v>1.5025182500707654</v>
      </c>
      <c r="I323" s="62">
        <f t="shared" si="249"/>
        <v>0</v>
      </c>
      <c r="J323" s="62">
        <f t="shared" si="249"/>
        <v>0</v>
      </c>
      <c r="K323" s="62">
        <f t="shared" si="249"/>
        <v>0</v>
      </c>
      <c r="L323" s="60">
        <f t="shared" si="249"/>
        <v>1.2399765725664753</v>
      </c>
      <c r="M323" s="60">
        <f t="shared" si="249"/>
        <v>1.7788708094878556</v>
      </c>
      <c r="N323" s="60">
        <f t="shared" si="249"/>
        <v>0.40907747585198551</v>
      </c>
      <c r="O323" s="62">
        <f t="shared" si="249"/>
        <v>0</v>
      </c>
      <c r="P323" s="74">
        <f t="shared" si="249"/>
        <v>0.46679420606723149</v>
      </c>
      <c r="Q323" s="60">
        <f t="shared" si="249"/>
        <v>0.54413880069296805</v>
      </c>
      <c r="R323" s="62">
        <f t="shared" si="249"/>
        <v>0</v>
      </c>
      <c r="S323" s="64">
        <f t="shared" si="249"/>
        <v>0.95857127284009624</v>
      </c>
      <c r="T323" s="60">
        <f t="shared" si="249"/>
        <v>0.87256873870482288</v>
      </c>
      <c r="U323" s="62">
        <f t="shared" si="249"/>
        <v>0</v>
      </c>
      <c r="V323" s="62">
        <f t="shared" si="249"/>
        <v>0</v>
      </c>
      <c r="W323" s="62">
        <f t="shared" si="249"/>
        <v>0</v>
      </c>
      <c r="X323" s="62">
        <f t="shared" si="249"/>
        <v>19.003401387720881</v>
      </c>
      <c r="Y323" s="65"/>
      <c r="Z323" s="19"/>
      <c r="AA323" s="19"/>
      <c r="AB323" s="19"/>
    </row>
    <row r="324" spans="1:29" s="20" customFormat="1" ht="25.5" customHeight="1" x14ac:dyDescent="0.4">
      <c r="A324" s="170"/>
      <c r="B324" s="21" t="s">
        <v>49</v>
      </c>
      <c r="C324" s="66">
        <f>SUM(D324:X324)</f>
        <v>1012842846.483871</v>
      </c>
      <c r="D324" s="67">
        <f>D312-D310</f>
        <v>3707000</v>
      </c>
      <c r="E324" s="66">
        <f t="shared" ref="E324:X324" si="250">E312-E310</f>
        <v>-112801100</v>
      </c>
      <c r="F324" s="66">
        <f t="shared" si="250"/>
        <v>-36171900</v>
      </c>
      <c r="G324" s="71">
        <f t="shared" si="250"/>
        <v>-158105020</v>
      </c>
      <c r="H324" s="66">
        <f t="shared" si="250"/>
        <v>161360678</v>
      </c>
      <c r="I324" s="69">
        <f t="shared" si="250"/>
        <v>120347000</v>
      </c>
      <c r="J324" s="69">
        <f t="shared" si="250"/>
        <v>88276010</v>
      </c>
      <c r="K324" s="25">
        <f t="shared" si="250"/>
        <v>258818900</v>
      </c>
      <c r="L324" s="66">
        <f t="shared" si="250"/>
        <v>95446000</v>
      </c>
      <c r="M324" s="66">
        <f t="shared" si="250"/>
        <v>118227981</v>
      </c>
      <c r="N324" s="66">
        <f t="shared" si="250"/>
        <v>-12126000</v>
      </c>
      <c r="O324" s="69">
        <f t="shared" si="250"/>
        <v>-30561000</v>
      </c>
      <c r="P324" s="71">
        <f t="shared" si="250"/>
        <v>-54224000</v>
      </c>
      <c r="Q324" s="69">
        <f t="shared" si="250"/>
        <v>107775700</v>
      </c>
      <c r="R324" s="69">
        <f t="shared" si="250"/>
        <v>100334935.48387097</v>
      </c>
      <c r="S324" s="70">
        <f t="shared" si="250"/>
        <v>-22914000</v>
      </c>
      <c r="T324" s="66">
        <f t="shared" si="250"/>
        <v>36199000</v>
      </c>
      <c r="U324" s="69">
        <f t="shared" si="250"/>
        <v>384519900</v>
      </c>
      <c r="V324" s="69">
        <f t="shared" si="250"/>
        <v>1338000</v>
      </c>
      <c r="W324" s="69">
        <f t="shared" si="250"/>
        <v>3684000</v>
      </c>
      <c r="X324" s="66">
        <f t="shared" si="250"/>
        <v>-40289238</v>
      </c>
      <c r="Y324" s="27"/>
      <c r="Z324" s="19"/>
      <c r="AA324" s="19"/>
      <c r="AB324" s="19"/>
    </row>
    <row r="325" spans="1:29" s="20" customFormat="1" ht="25.5" customHeight="1" x14ac:dyDescent="0.4">
      <c r="A325" s="170"/>
      <c r="B325" s="21" t="s">
        <v>50</v>
      </c>
      <c r="C325" s="60">
        <f>IFERROR(C311/C310,0)</f>
        <v>1.1986365276930562</v>
      </c>
      <c r="D325" s="61">
        <f>IFERROR(D312/D310,0)</f>
        <v>1.0096891728002677</v>
      </c>
      <c r="E325" s="60">
        <f t="shared" ref="E325:X325" si="251">IFERROR(E312/E310,0)</f>
        <v>0.73105910419236142</v>
      </c>
      <c r="F325" s="60">
        <f t="shared" si="251"/>
        <v>0.88047993195941487</v>
      </c>
      <c r="G325" s="73">
        <f t="shared" si="251"/>
        <v>0.85243870936334487</v>
      </c>
      <c r="H325" s="60">
        <f t="shared" si="251"/>
        <v>1.2191531943114393</v>
      </c>
      <c r="I325" s="62">
        <f t="shared" si="251"/>
        <v>0</v>
      </c>
      <c r="J325" s="62">
        <f t="shared" si="251"/>
        <v>0</v>
      </c>
      <c r="K325" s="62">
        <f t="shared" si="251"/>
        <v>0</v>
      </c>
      <c r="L325" s="60">
        <f t="shared" si="251"/>
        <v>1.56411499089813</v>
      </c>
      <c r="M325" s="60">
        <f t="shared" si="251"/>
        <v>1.9411518272743324</v>
      </c>
      <c r="N325" s="60">
        <f t="shared" si="251"/>
        <v>0.48831124989450586</v>
      </c>
      <c r="O325" s="62">
        <f t="shared" si="251"/>
        <v>0.16317086527929903</v>
      </c>
      <c r="P325" s="73">
        <f t="shared" si="251"/>
        <v>0.64227470642564988</v>
      </c>
      <c r="Q325" s="62">
        <f t="shared" si="251"/>
        <v>21.26125618032448</v>
      </c>
      <c r="R325" s="62">
        <f t="shared" si="251"/>
        <v>0</v>
      </c>
      <c r="S325" s="64">
        <f t="shared" si="251"/>
        <v>0.96767162018597919</v>
      </c>
      <c r="T325" s="60">
        <f t="shared" si="251"/>
        <v>1.0416053201112112</v>
      </c>
      <c r="U325" s="62">
        <f t="shared" si="251"/>
        <v>0</v>
      </c>
      <c r="V325" s="62">
        <f t="shared" si="251"/>
        <v>0</v>
      </c>
      <c r="W325" s="62">
        <f t="shared" si="251"/>
        <v>0</v>
      </c>
      <c r="X325" s="60">
        <f t="shared" si="251"/>
        <v>0.90316926570416201</v>
      </c>
      <c r="Y325" s="65"/>
      <c r="Z325" s="19"/>
      <c r="AA325" s="19"/>
      <c r="AB325" s="19"/>
    </row>
    <row r="326" spans="1:29" s="20" customFormat="1" ht="25.5" customHeight="1" x14ac:dyDescent="0.4">
      <c r="A326" s="170"/>
      <c r="B326" s="21" t="s">
        <v>51</v>
      </c>
      <c r="C326" s="66">
        <f>SUM(D326:X326)</f>
        <v>-63621288.516129032</v>
      </c>
      <c r="D326" s="67">
        <f>D312-D311</f>
        <v>15583000</v>
      </c>
      <c r="E326" s="66">
        <f t="shared" ref="E326:X326" si="252">E312-E311</f>
        <v>-53349500</v>
      </c>
      <c r="F326" s="66">
        <f t="shared" si="252"/>
        <v>-82545600</v>
      </c>
      <c r="G326" s="71">
        <f t="shared" si="252"/>
        <v>-121775900</v>
      </c>
      <c r="H326" s="66">
        <f t="shared" si="252"/>
        <v>-75258972</v>
      </c>
      <c r="I326" s="69">
        <f t="shared" si="252"/>
        <v>120347000</v>
      </c>
      <c r="J326" s="69">
        <f t="shared" si="252"/>
        <v>88276010</v>
      </c>
      <c r="K326" s="66">
        <f t="shared" si="252"/>
        <v>-1863600</v>
      </c>
      <c r="L326" s="66">
        <f t="shared" si="252"/>
        <v>-122221000</v>
      </c>
      <c r="M326" s="66">
        <f t="shared" si="252"/>
        <v>117082000</v>
      </c>
      <c r="N326" s="66">
        <f t="shared" si="252"/>
        <v>-4810000</v>
      </c>
      <c r="O326" s="69">
        <f t="shared" si="252"/>
        <v>-4994000</v>
      </c>
      <c r="P326" s="71">
        <f t="shared" si="252"/>
        <v>-34319000</v>
      </c>
      <c r="Q326" s="69">
        <f t="shared" si="252"/>
        <v>113095000</v>
      </c>
      <c r="R326" s="66">
        <f t="shared" si="252"/>
        <v>75878935.483870968</v>
      </c>
      <c r="S326" s="66">
        <f t="shared" si="252"/>
        <v>-80242000</v>
      </c>
      <c r="T326" s="66">
        <f t="shared" si="252"/>
        <v>3262000</v>
      </c>
      <c r="U326" s="66">
        <f t="shared" si="252"/>
        <v>83394900</v>
      </c>
      <c r="V326" s="66">
        <f t="shared" si="252"/>
        <v>1338000</v>
      </c>
      <c r="W326" s="66">
        <f t="shared" si="252"/>
        <v>1277000</v>
      </c>
      <c r="X326" s="66">
        <f t="shared" si="252"/>
        <v>-101775562</v>
      </c>
      <c r="Y326" s="27"/>
      <c r="Z326" s="19"/>
      <c r="AA326" s="19"/>
      <c r="AB326" s="19"/>
    </row>
    <row r="327" spans="1:29" s="20" customFormat="1" ht="25.5" customHeight="1" x14ac:dyDescent="0.4">
      <c r="A327" s="170"/>
      <c r="B327" s="21" t="s">
        <v>52</v>
      </c>
      <c r="C327" s="60">
        <f>IFERROR(C313/C312,0)</f>
        <v>1.344722316905298</v>
      </c>
      <c r="D327" s="61">
        <f>IFERROR(D312/D311,0)</f>
        <v>1.0420348730564637</v>
      </c>
      <c r="E327" s="60">
        <f t="shared" ref="E327:X327" si="253">IFERROR(E312/E311,0)</f>
        <v>0.85179685839730757</v>
      </c>
      <c r="F327" s="60">
        <f t="shared" si="253"/>
        <v>0.76349090559016386</v>
      </c>
      <c r="G327" s="73">
        <f t="shared" si="253"/>
        <v>0.88235623148953835</v>
      </c>
      <c r="H327" s="60">
        <f t="shared" si="253"/>
        <v>0.92264560178067612</v>
      </c>
      <c r="I327" s="62">
        <f t="shared" si="253"/>
        <v>0</v>
      </c>
      <c r="J327" s="62">
        <f t="shared" si="253"/>
        <v>0</v>
      </c>
      <c r="K327" s="60">
        <f t="shared" si="253"/>
        <v>0.99285107362404457</v>
      </c>
      <c r="L327" s="60">
        <f t="shared" si="253"/>
        <v>0.68407162225387286</v>
      </c>
      <c r="M327" s="60">
        <f t="shared" si="253"/>
        <v>1.9236036334520557</v>
      </c>
      <c r="N327" s="60">
        <f t="shared" si="253"/>
        <v>0.70638505676962515</v>
      </c>
      <c r="O327" s="62">
        <f t="shared" si="253"/>
        <v>0.54405185793846433</v>
      </c>
      <c r="P327" s="73">
        <f t="shared" si="253"/>
        <v>0.73936586292006834</v>
      </c>
      <c r="Q327" s="62">
        <f t="shared" si="253"/>
        <v>0</v>
      </c>
      <c r="R327" s="60">
        <f t="shared" si="253"/>
        <v>4.1026715523336179</v>
      </c>
      <c r="S327" s="60">
        <f t="shared" si="253"/>
        <v>0.89526142873738601</v>
      </c>
      <c r="T327" s="60">
        <f t="shared" si="253"/>
        <v>1.0036124271036131</v>
      </c>
      <c r="U327" s="60">
        <f t="shared" si="253"/>
        <v>1.2769444582814446</v>
      </c>
      <c r="V327" s="60">
        <f t="shared" si="253"/>
        <v>0</v>
      </c>
      <c r="W327" s="60">
        <f t="shared" si="253"/>
        <v>1.5305359368508518</v>
      </c>
      <c r="X327" s="60">
        <f t="shared" si="253"/>
        <v>0.78688662997106784</v>
      </c>
      <c r="Y327" s="65"/>
      <c r="Z327" s="19"/>
      <c r="AA327" s="19"/>
      <c r="AB327" s="19"/>
    </row>
    <row r="328" spans="1:29" s="82" customFormat="1" ht="25.5" customHeight="1" x14ac:dyDescent="0.4">
      <c r="A328" s="170"/>
      <c r="B328" s="75" t="s">
        <v>53</v>
      </c>
      <c r="C328" s="76">
        <f>SUM(D328:X328)</f>
        <v>-2217291384.516129</v>
      </c>
      <c r="D328" s="77">
        <f>D312-D313</f>
        <v>7599000</v>
      </c>
      <c r="E328" s="76">
        <f t="shared" ref="E328:X328" si="254">E312-E313</f>
        <v>-61074000</v>
      </c>
      <c r="F328" s="76">
        <f t="shared" si="254"/>
        <v>-91029000</v>
      </c>
      <c r="G328" s="78">
        <f t="shared" si="254"/>
        <v>-163651800</v>
      </c>
      <c r="H328" s="76">
        <f t="shared" si="254"/>
        <v>-124547622</v>
      </c>
      <c r="I328" s="76">
        <f t="shared" si="254"/>
        <v>-87853000</v>
      </c>
      <c r="J328" s="76">
        <f t="shared" si="254"/>
        <v>-57823990</v>
      </c>
      <c r="K328" s="76">
        <f t="shared" si="254"/>
        <v>-179881100</v>
      </c>
      <c r="L328" s="76">
        <f t="shared" si="254"/>
        <v>-222658000</v>
      </c>
      <c r="M328" s="76">
        <f t="shared" si="254"/>
        <v>-57351500</v>
      </c>
      <c r="N328" s="76">
        <f t="shared" si="254"/>
        <v>-6028000</v>
      </c>
      <c r="O328" s="76">
        <f t="shared" si="254"/>
        <v>-5841000</v>
      </c>
      <c r="P328" s="78">
        <f t="shared" si="254"/>
        <v>-37344000</v>
      </c>
      <c r="Q328" s="76">
        <f t="shared" si="254"/>
        <v>-103805000</v>
      </c>
      <c r="R328" s="76">
        <f t="shared" si="254"/>
        <v>-77165064.516129032</v>
      </c>
      <c r="S328" s="76">
        <f t="shared" si="254"/>
        <v>-251825000</v>
      </c>
      <c r="T328" s="76">
        <f t="shared" si="254"/>
        <v>-325144000</v>
      </c>
      <c r="U328" s="76">
        <f t="shared" si="254"/>
        <v>-222180100</v>
      </c>
      <c r="V328" s="76">
        <f t="shared" si="254"/>
        <v>-19662000</v>
      </c>
      <c r="W328" s="76">
        <f t="shared" si="254"/>
        <v>-3616000</v>
      </c>
      <c r="X328" s="76">
        <f t="shared" si="254"/>
        <v>-126410208</v>
      </c>
      <c r="Y328" s="80"/>
      <c r="Z328" s="81"/>
      <c r="AA328" s="81"/>
      <c r="AB328" s="81"/>
    </row>
    <row r="329" spans="1:29" s="44" customFormat="1" ht="25.5" customHeight="1" thickBot="1" x14ac:dyDescent="0.45">
      <c r="A329" s="171"/>
      <c r="B329" s="83" t="s">
        <v>54</v>
      </c>
      <c r="C329" s="84">
        <f>IFERROR(C311/C313,0)</f>
        <v>0.75100352671861637</v>
      </c>
      <c r="D329" s="85">
        <f>IFERROR(D312/D313,0)</f>
        <v>1.0200660153155532</v>
      </c>
      <c r="E329" s="84">
        <f t="shared" ref="E329:X329" si="255">IFERROR(E312/E313,0)</f>
        <v>0.8339026380201251</v>
      </c>
      <c r="F329" s="84">
        <f t="shared" si="255"/>
        <v>0.74537342657342653</v>
      </c>
      <c r="G329" s="86">
        <f t="shared" si="255"/>
        <v>0.84804846796657385</v>
      </c>
      <c r="H329" s="84">
        <f t="shared" si="255"/>
        <v>0.87815728624535316</v>
      </c>
      <c r="I329" s="84">
        <f t="shared" si="255"/>
        <v>0.57803554274735836</v>
      </c>
      <c r="J329" s="84">
        <f t="shared" si="255"/>
        <v>0.60421635865845313</v>
      </c>
      <c r="K329" s="84">
        <f t="shared" si="255"/>
        <v>0.58996785958513787</v>
      </c>
      <c r="L329" s="84">
        <f t="shared" si="255"/>
        <v>0.54307818592242973</v>
      </c>
      <c r="M329" s="84">
        <f t="shared" si="255"/>
        <v>0.80958997343957506</v>
      </c>
      <c r="N329" s="84">
        <f t="shared" si="255"/>
        <v>0.65749999999999997</v>
      </c>
      <c r="O329" s="84">
        <f t="shared" si="255"/>
        <v>0.505</v>
      </c>
      <c r="P329" s="86">
        <f t="shared" si="255"/>
        <v>0.72276169265033408</v>
      </c>
      <c r="Q329" s="84">
        <f t="shared" si="255"/>
        <v>0.52141539880129095</v>
      </c>
      <c r="R329" s="84">
        <f t="shared" si="255"/>
        <v>0.56526724216265334</v>
      </c>
      <c r="S329" s="84">
        <f t="shared" si="255"/>
        <v>0.73144395862216061</v>
      </c>
      <c r="T329" s="84">
        <f t="shared" si="255"/>
        <v>0.73595582264089654</v>
      </c>
      <c r="U329" s="84">
        <f t="shared" si="255"/>
        <v>0.63378918740728529</v>
      </c>
      <c r="V329" s="84">
        <f t="shared" si="255"/>
        <v>6.3714285714285709E-2</v>
      </c>
      <c r="W329" s="84">
        <f t="shared" si="255"/>
        <v>0.50465753424657533</v>
      </c>
      <c r="X329" s="84">
        <f t="shared" si="255"/>
        <v>0.74828712066905612</v>
      </c>
      <c r="Y329" s="88"/>
      <c r="Z329" s="43"/>
      <c r="AA329" s="43"/>
      <c r="AB329" s="43"/>
    </row>
    <row r="330" spans="1:29" ht="25.5" customHeight="1" x14ac:dyDescent="0.4">
      <c r="A330" s="167" t="s">
        <v>70</v>
      </c>
      <c r="B330" s="167"/>
      <c r="C330" s="124">
        <f>IFERROR(C311/#REF!,0)</f>
        <v>0</v>
      </c>
      <c r="D330" s="124">
        <f>IFERROR(D311/#REF!,0)</f>
        <v>0</v>
      </c>
      <c r="E330" s="124">
        <f>IFERROR(E311/#REF!,0)</f>
        <v>0</v>
      </c>
      <c r="F330" s="124">
        <f>IFERROR(F311/#REF!,0)</f>
        <v>0</v>
      </c>
      <c r="G330" s="124">
        <f>IFERROR(G311/#REF!,0)</f>
        <v>0</v>
      </c>
      <c r="H330" s="124">
        <f>IFERROR(H311/#REF!,0)</f>
        <v>0</v>
      </c>
      <c r="I330" s="124">
        <f>IFERROR(I311/#REF!,0)</f>
        <v>0</v>
      </c>
      <c r="J330" s="124">
        <f>IFERROR(J311/#REF!,0)</f>
        <v>0</v>
      </c>
      <c r="K330" s="124">
        <f>IFERROR(K311/#REF!,0)</f>
        <v>0</v>
      </c>
      <c r="L330" s="124">
        <f>IFERROR(L311/#REF!,0)</f>
        <v>0</v>
      </c>
      <c r="M330" s="124">
        <f>IFERROR(M311/#REF!,0)</f>
        <v>0</v>
      </c>
      <c r="N330" s="124">
        <f>IFERROR(N311/#REF!,0)</f>
        <v>0</v>
      </c>
      <c r="O330" s="124">
        <f>IFERROR(O311/#REF!,0)</f>
        <v>0</v>
      </c>
      <c r="P330" s="124">
        <f>IFERROR(P311/#REF!,0)</f>
        <v>0</v>
      </c>
      <c r="Q330" s="124">
        <f>IFERROR(Q311/#REF!,0)</f>
        <v>0</v>
      </c>
      <c r="R330" s="124">
        <f>IFERROR(R311/#REF!,0)</f>
        <v>0</v>
      </c>
      <c r="S330" s="124">
        <f>IFERROR(S311/#REF!,0)</f>
        <v>0</v>
      </c>
      <c r="T330" s="124">
        <f>IFERROR(T311/#REF!,0)</f>
        <v>0</v>
      </c>
      <c r="U330" s="124">
        <f>IFERROR(U311/#REF!,0)</f>
        <v>0</v>
      </c>
      <c r="V330" s="124">
        <f>IFERROR(V311/#REF!,0)</f>
        <v>0</v>
      </c>
      <c r="W330" s="124">
        <f>IFERROR(W311/#REF!,0)</f>
        <v>0</v>
      </c>
      <c r="X330" s="124">
        <f>IFERROR(X311/#REF!,0)</f>
        <v>0</v>
      </c>
      <c r="Y330" s="124"/>
    </row>
    <row r="331" spans="1:29" ht="25.5" customHeight="1" x14ac:dyDescent="0.4">
      <c r="A331" s="168" t="s">
        <v>71</v>
      </c>
      <c r="B331" s="168"/>
      <c r="C331" s="124" t="e">
        <f>C313/#REF!</f>
        <v>#REF!</v>
      </c>
      <c r="D331" s="124">
        <f>IFERROR(D313/#REF!,0)</f>
        <v>0</v>
      </c>
      <c r="E331" s="124">
        <f>IFERROR(E313/#REF!,0)</f>
        <v>0</v>
      </c>
      <c r="F331" s="124">
        <f>IFERROR(F313/#REF!,0)</f>
        <v>0</v>
      </c>
      <c r="G331" s="124">
        <f>IFERROR(G313/#REF!,0)</f>
        <v>0</v>
      </c>
      <c r="H331" s="124">
        <f>IFERROR(H313/#REF!,0)</f>
        <v>0</v>
      </c>
      <c r="I331" s="124">
        <f>IFERROR(I313/#REF!,0)</f>
        <v>0</v>
      </c>
      <c r="J331" s="124">
        <f>IFERROR(J313/#REF!,0)</f>
        <v>0</v>
      </c>
      <c r="K331" s="124">
        <f>IFERROR(K313/#REF!,0)</f>
        <v>0</v>
      </c>
      <c r="L331" s="124">
        <f>IFERROR(L313/#REF!,0)</f>
        <v>0</v>
      </c>
      <c r="M331" s="124">
        <f>IFERROR(M313/#REF!,0)</f>
        <v>0</v>
      </c>
      <c r="N331" s="124">
        <f>IFERROR(N313/#REF!,0)</f>
        <v>0</v>
      </c>
      <c r="O331" s="124">
        <f>IFERROR(O313/#REF!,0)</f>
        <v>0</v>
      </c>
      <c r="P331" s="124">
        <f>IFERROR(P313/#REF!,0)</f>
        <v>0</v>
      </c>
      <c r="Q331" s="124">
        <f>IFERROR(Q313/#REF!,0)</f>
        <v>0</v>
      </c>
      <c r="R331" s="124">
        <f>IFERROR(R313/#REF!,0)</f>
        <v>0</v>
      </c>
      <c r="S331" s="124">
        <f>IFERROR(S313/#REF!,0)</f>
        <v>0</v>
      </c>
      <c r="T331" s="124">
        <f>IFERROR(T313/#REF!,0)</f>
        <v>0</v>
      </c>
      <c r="U331" s="124">
        <f>IFERROR(U313/#REF!,0)</f>
        <v>0</v>
      </c>
      <c r="V331" s="124">
        <f>IFERROR(V313/#REF!,0)</f>
        <v>0</v>
      </c>
      <c r="W331" s="124">
        <f>IFERROR(W313/#REF!,0)</f>
        <v>0</v>
      </c>
      <c r="X331" s="124">
        <f>IFERROR(X313/#REF!,0)</f>
        <v>0</v>
      </c>
      <c r="Y331" s="124"/>
    </row>
    <row r="332" spans="1:29" s="125" customFormat="1" ht="18" thickBot="1" x14ac:dyDescent="0.45">
      <c r="B332" s="126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AC332" s="128"/>
    </row>
    <row r="333" spans="1:29" s="20" customFormat="1" ht="30" customHeight="1" x14ac:dyDescent="0.4">
      <c r="A333" s="169" t="s">
        <v>68</v>
      </c>
      <c r="B333" s="129" t="s">
        <v>29</v>
      </c>
      <c r="C333" s="130">
        <f t="shared" ref="C333:N338" si="256">C305</f>
        <v>3908269600</v>
      </c>
      <c r="D333" s="131">
        <f t="shared" si="256"/>
        <v>343430200</v>
      </c>
      <c r="E333" s="130">
        <f t="shared" si="256"/>
        <v>651745300</v>
      </c>
      <c r="F333" s="132">
        <f t="shared" si="256"/>
        <v>0</v>
      </c>
      <c r="G333" s="133">
        <f t="shared" si="256"/>
        <v>0</v>
      </c>
      <c r="H333" s="132">
        <f t="shared" si="256"/>
        <v>0</v>
      </c>
      <c r="I333" s="130">
        <f t="shared" si="256"/>
        <v>288441800</v>
      </c>
      <c r="J333" s="134">
        <f t="shared" si="256"/>
        <v>5273000</v>
      </c>
      <c r="K333" s="135">
        <f t="shared" si="256"/>
        <v>546610000</v>
      </c>
      <c r="L333" s="130">
        <f t="shared" si="256"/>
        <v>176418000</v>
      </c>
      <c r="M333" s="130">
        <f t="shared" si="256"/>
        <v>176615600</v>
      </c>
      <c r="N333" s="130">
        <f t="shared" si="256"/>
        <v>25927000</v>
      </c>
      <c r="O333" s="132"/>
      <c r="P333" s="133">
        <f t="shared" ref="P333:W338" si="257">P305</f>
        <v>0</v>
      </c>
      <c r="Q333" s="135">
        <f t="shared" si="257"/>
        <v>659317900</v>
      </c>
      <c r="R333" s="135">
        <f t="shared" si="257"/>
        <v>0</v>
      </c>
      <c r="S333" s="135">
        <f t="shared" si="257"/>
        <v>445808000</v>
      </c>
      <c r="T333" s="135">
        <f t="shared" si="257"/>
        <v>588682800</v>
      </c>
      <c r="U333" s="135">
        <f t="shared" si="257"/>
        <v>0</v>
      </c>
      <c r="V333" s="135">
        <f t="shared" si="257"/>
        <v>0</v>
      </c>
      <c r="W333" s="135">
        <f t="shared" si="257"/>
        <v>0</v>
      </c>
      <c r="X333" s="132"/>
      <c r="Y333" s="136"/>
    </row>
    <row r="334" spans="1:29" s="20" customFormat="1" ht="30" customHeight="1" x14ac:dyDescent="0.4">
      <c r="A334" s="170"/>
      <c r="B334" s="108" t="s">
        <v>30</v>
      </c>
      <c r="C334" s="137">
        <f t="shared" si="256"/>
        <v>1328256000</v>
      </c>
      <c r="D334" s="138">
        <f t="shared" si="256"/>
        <v>90218000</v>
      </c>
      <c r="E334" s="137">
        <f t="shared" si="256"/>
        <v>117665200</v>
      </c>
      <c r="F334" s="137">
        <f t="shared" si="256"/>
        <v>124600000</v>
      </c>
      <c r="G334" s="139">
        <f t="shared" si="256"/>
        <v>0</v>
      </c>
      <c r="H334" s="140">
        <f t="shared" si="256"/>
        <v>0</v>
      </c>
      <c r="I334" s="137">
        <f t="shared" si="256"/>
        <v>80500800</v>
      </c>
      <c r="J334" s="140">
        <f t="shared" si="256"/>
        <v>0</v>
      </c>
      <c r="K334" s="141">
        <f t="shared" si="256"/>
        <v>46149000</v>
      </c>
      <c r="L334" s="137">
        <f t="shared" si="256"/>
        <v>72273000</v>
      </c>
      <c r="M334" s="137">
        <f t="shared" si="256"/>
        <v>119527500</v>
      </c>
      <c r="N334" s="137">
        <f t="shared" si="256"/>
        <v>3811000</v>
      </c>
      <c r="O334" s="140"/>
      <c r="P334" s="142">
        <f t="shared" si="257"/>
        <v>89969000</v>
      </c>
      <c r="Q334" s="141">
        <f t="shared" si="257"/>
        <v>44651000</v>
      </c>
      <c r="R334" s="141">
        <f t="shared" si="257"/>
        <v>0</v>
      </c>
      <c r="S334" s="141">
        <f t="shared" si="257"/>
        <v>280177000</v>
      </c>
      <c r="T334" s="141">
        <f t="shared" si="257"/>
        <v>258714500</v>
      </c>
      <c r="U334" s="141">
        <f t="shared" si="257"/>
        <v>0</v>
      </c>
      <c r="V334" s="141">
        <f t="shared" si="257"/>
        <v>0</v>
      </c>
      <c r="W334" s="141">
        <f t="shared" si="257"/>
        <v>0</v>
      </c>
      <c r="X334" s="140"/>
      <c r="Y334" s="143"/>
    </row>
    <row r="335" spans="1:29" s="20" customFormat="1" ht="30" customHeight="1" x14ac:dyDescent="0.4">
      <c r="A335" s="170"/>
      <c r="B335" s="21" t="s">
        <v>31</v>
      </c>
      <c r="C335" s="22">
        <f t="shared" si="256"/>
        <v>1708367952</v>
      </c>
      <c r="D335" s="23">
        <f t="shared" si="256"/>
        <v>74347000</v>
      </c>
      <c r="E335" s="22">
        <f t="shared" si="256"/>
        <v>112671500</v>
      </c>
      <c r="F335" s="22">
        <f t="shared" si="256"/>
        <v>71759000</v>
      </c>
      <c r="G335" s="28">
        <f t="shared" si="256"/>
        <v>192308900</v>
      </c>
      <c r="H335" s="25">
        <f t="shared" si="256"/>
        <v>0</v>
      </c>
      <c r="I335" s="22">
        <f t="shared" si="256"/>
        <v>100232600</v>
      </c>
      <c r="J335" s="25">
        <f t="shared" si="256"/>
        <v>0</v>
      </c>
      <c r="K335" s="25">
        <f t="shared" si="256"/>
        <v>0</v>
      </c>
      <c r="L335" s="22">
        <f t="shared" si="256"/>
        <v>117605000</v>
      </c>
      <c r="M335" s="22">
        <f t="shared" si="256"/>
        <v>136099200</v>
      </c>
      <c r="N335" s="22">
        <f t="shared" si="256"/>
        <v>19634000</v>
      </c>
      <c r="O335" s="25"/>
      <c r="P335" s="29">
        <f t="shared" si="257"/>
        <v>105957000</v>
      </c>
      <c r="Q335" s="26">
        <f t="shared" si="257"/>
        <v>133726000</v>
      </c>
      <c r="R335" s="26">
        <f t="shared" si="257"/>
        <v>0</v>
      </c>
      <c r="S335" s="26">
        <f t="shared" si="257"/>
        <v>350289000</v>
      </c>
      <c r="T335" s="26">
        <f t="shared" si="257"/>
        <v>293738752</v>
      </c>
      <c r="U335" s="26">
        <f t="shared" si="257"/>
        <v>0</v>
      </c>
      <c r="V335" s="26">
        <f t="shared" si="257"/>
        <v>0</v>
      </c>
      <c r="W335" s="26">
        <f t="shared" si="257"/>
        <v>0</v>
      </c>
      <c r="X335" s="25"/>
      <c r="Y335" s="27"/>
      <c r="Z335" s="19">
        <f>IFERROR(#REF!/#REF!-1,0)</f>
        <v>0</v>
      </c>
      <c r="AA335" s="19">
        <f>IFERROR(C335/C334-1,0)</f>
        <v>0.28617371350101184</v>
      </c>
      <c r="AB335" s="19">
        <f>IFERROR(#REF!/#REF!-1,0)</f>
        <v>0</v>
      </c>
    </row>
    <row r="336" spans="1:29" s="20" customFormat="1" ht="30" customHeight="1" x14ac:dyDescent="0.4">
      <c r="A336" s="170"/>
      <c r="B336" s="21" t="s">
        <v>56</v>
      </c>
      <c r="C336" s="22">
        <f t="shared" si="256"/>
        <v>5306101556.5</v>
      </c>
      <c r="D336" s="23">
        <f t="shared" si="256"/>
        <v>406881400</v>
      </c>
      <c r="E336" s="22">
        <f t="shared" si="256"/>
        <v>502027000</v>
      </c>
      <c r="F336" s="22">
        <f t="shared" si="256"/>
        <v>448900500</v>
      </c>
      <c r="G336" s="28">
        <f t="shared" si="256"/>
        <v>1427380200</v>
      </c>
      <c r="H336" s="25">
        <f t="shared" si="256"/>
        <v>0</v>
      </c>
      <c r="I336" s="22">
        <f t="shared" si="256"/>
        <v>957000</v>
      </c>
      <c r="J336" s="25">
        <f t="shared" si="256"/>
        <v>0</v>
      </c>
      <c r="K336" s="25">
        <f t="shared" si="256"/>
        <v>0</v>
      </c>
      <c r="L336" s="22">
        <f t="shared" si="256"/>
        <v>223140000</v>
      </c>
      <c r="M336" s="22">
        <f t="shared" si="256"/>
        <v>178685000</v>
      </c>
      <c r="N336" s="22">
        <f t="shared" si="256"/>
        <v>32567219.5</v>
      </c>
      <c r="O336" s="25"/>
      <c r="P336" s="29">
        <f t="shared" si="257"/>
        <v>194678000</v>
      </c>
      <c r="Q336" s="22">
        <f t="shared" si="257"/>
        <v>429090900</v>
      </c>
      <c r="R336" s="22">
        <f t="shared" si="257"/>
        <v>0</v>
      </c>
      <c r="S336" s="26">
        <f t="shared" si="257"/>
        <v>669746989</v>
      </c>
      <c r="T336" s="22">
        <f t="shared" si="257"/>
        <v>792047348</v>
      </c>
      <c r="U336" s="22">
        <f t="shared" si="257"/>
        <v>0</v>
      </c>
      <c r="V336" s="22">
        <f t="shared" si="257"/>
        <v>0</v>
      </c>
      <c r="W336" s="22">
        <f t="shared" si="257"/>
        <v>0</v>
      </c>
      <c r="X336" s="25"/>
      <c r="Y336" s="27"/>
      <c r="Z336" s="19">
        <f>IFERROR(#REF!/#REF!-1,0)</f>
        <v>0</v>
      </c>
      <c r="AA336" s="19">
        <f>IFERROR(C336/C335-1,0)</f>
        <v>2.1059477264766673</v>
      </c>
      <c r="AB336" s="19">
        <f>IFERROR(#REF!/#REF!-1,0)</f>
        <v>0</v>
      </c>
    </row>
    <row r="337" spans="1:30" s="44" customFormat="1" ht="30" customHeight="1" x14ac:dyDescent="0.4">
      <c r="A337" s="170"/>
      <c r="B337" s="21" t="s">
        <v>33</v>
      </c>
      <c r="C337" s="22">
        <f t="shared" si="256"/>
        <v>5711954509</v>
      </c>
      <c r="D337" s="23">
        <f t="shared" si="256"/>
        <v>431522000</v>
      </c>
      <c r="E337" s="22">
        <f t="shared" si="256"/>
        <v>521920309</v>
      </c>
      <c r="F337" s="22">
        <f t="shared" si="256"/>
        <v>418003850</v>
      </c>
      <c r="G337" s="28">
        <f t="shared" si="256"/>
        <v>1173977820</v>
      </c>
      <c r="H337" s="22">
        <f t="shared" si="256"/>
        <v>597431930</v>
      </c>
      <c r="I337" s="25">
        <f t="shared" si="256"/>
        <v>0</v>
      </c>
      <c r="J337" s="25">
        <f t="shared" si="256"/>
        <v>0</v>
      </c>
      <c r="K337" s="104">
        <f t="shared" si="256"/>
        <v>0</v>
      </c>
      <c r="L337" s="22">
        <f t="shared" si="256"/>
        <v>213425000</v>
      </c>
      <c r="M337" s="22">
        <f t="shared" si="256"/>
        <v>137080500</v>
      </c>
      <c r="N337" s="22">
        <f t="shared" si="256"/>
        <v>28288040</v>
      </c>
      <c r="O337" s="22"/>
      <c r="P337" s="28">
        <f t="shared" si="257"/>
        <v>208563000</v>
      </c>
      <c r="Q337" s="22">
        <f t="shared" si="257"/>
        <v>207842190</v>
      </c>
      <c r="R337" s="22">
        <f t="shared" si="257"/>
        <v>0</v>
      </c>
      <c r="S337" s="26">
        <f t="shared" si="257"/>
        <v>715518000</v>
      </c>
      <c r="T337" s="22">
        <f t="shared" si="257"/>
        <v>1038607000</v>
      </c>
      <c r="U337" s="22">
        <f t="shared" si="257"/>
        <v>0</v>
      </c>
      <c r="V337" s="22">
        <f t="shared" si="257"/>
        <v>0</v>
      </c>
      <c r="W337" s="22">
        <f t="shared" si="257"/>
        <v>0</v>
      </c>
      <c r="X337" s="22">
        <f>X309</f>
        <v>19774870</v>
      </c>
      <c r="Y337" s="105"/>
      <c r="Z337" s="43">
        <f>IFERROR(#REF!/#REF!-1,0)</f>
        <v>0</v>
      </c>
      <c r="AA337" s="43">
        <f>IFERROR(C337/C336-1,0)</f>
        <v>7.6487972983258823E-2</v>
      </c>
      <c r="AB337" s="43">
        <f>IFERROR(#REF!/#REF!-1,0)</f>
        <v>0</v>
      </c>
      <c r="AC337" s="20"/>
    </row>
    <row r="338" spans="1:30" s="44" customFormat="1" ht="30" customHeight="1" x14ac:dyDescent="0.4">
      <c r="A338" s="170"/>
      <c r="B338" s="21" t="s">
        <v>34</v>
      </c>
      <c r="C338" s="22">
        <f t="shared" si="256"/>
        <v>5419265769</v>
      </c>
      <c r="D338" s="23">
        <f t="shared" si="256"/>
        <v>382592000</v>
      </c>
      <c r="E338" s="22">
        <f t="shared" si="256"/>
        <v>419427100</v>
      </c>
      <c r="F338" s="22">
        <f t="shared" si="256"/>
        <v>302642900</v>
      </c>
      <c r="G338" s="28">
        <f t="shared" si="256"/>
        <v>1071453220</v>
      </c>
      <c r="H338" s="22">
        <f t="shared" si="256"/>
        <v>736291700</v>
      </c>
      <c r="I338" s="25">
        <f t="shared" si="256"/>
        <v>0</v>
      </c>
      <c r="J338" s="25">
        <f t="shared" si="256"/>
        <v>0</v>
      </c>
      <c r="K338" s="104" t="e">
        <f>SUM(#REF!,K65,K90,K115,K140,K165,K190,K215,K240,K265,K290,K315)</f>
        <v>#REF!</v>
      </c>
      <c r="L338" s="22">
        <f>L310</f>
        <v>169196000</v>
      </c>
      <c r="M338" s="22">
        <f>M310</f>
        <v>125620519</v>
      </c>
      <c r="N338" s="22">
        <f>N310</f>
        <v>23698000</v>
      </c>
      <c r="O338" s="22"/>
      <c r="P338" s="28">
        <f t="shared" si="257"/>
        <v>151580000</v>
      </c>
      <c r="Q338" s="22">
        <f t="shared" si="257"/>
        <v>5319300</v>
      </c>
      <c r="R338" s="22">
        <f t="shared" si="257"/>
        <v>0</v>
      </c>
      <c r="S338" s="26">
        <f t="shared" si="257"/>
        <v>708789000</v>
      </c>
      <c r="T338" s="22">
        <f t="shared" si="257"/>
        <v>870057000</v>
      </c>
      <c r="U338" s="22">
        <f t="shared" si="257"/>
        <v>0</v>
      </c>
      <c r="V338" s="22">
        <f t="shared" si="257"/>
        <v>0</v>
      </c>
      <c r="W338" s="22">
        <f t="shared" si="257"/>
        <v>0</v>
      </c>
      <c r="X338" s="22">
        <f>X310</f>
        <v>416079030</v>
      </c>
      <c r="Y338" s="105"/>
      <c r="Z338" s="43">
        <f>IFERROR(#REF!/#REF!-1,0)</f>
        <v>0</v>
      </c>
      <c r="AA338" s="43">
        <f>IFERROR(C338/C337-1,0)</f>
        <v>-5.1241434002814112E-2</v>
      </c>
      <c r="AB338" s="43">
        <f>IFERROR(#REF!/#REF!-1,0)</f>
        <v>0</v>
      </c>
      <c r="AC338" s="20"/>
    </row>
    <row r="339" spans="1:30" s="44" customFormat="1" ht="30" customHeight="1" x14ac:dyDescent="0.4">
      <c r="A339" s="170"/>
      <c r="B339" s="144" t="s">
        <v>72</v>
      </c>
      <c r="C339" s="145">
        <f t="shared" ref="C339:X339" si="258">C313</f>
        <v>8649400000</v>
      </c>
      <c r="D339" s="146">
        <f t="shared" si="258"/>
        <v>378700000</v>
      </c>
      <c r="E339" s="145">
        <f t="shared" si="258"/>
        <v>367700000</v>
      </c>
      <c r="F339" s="145">
        <f t="shared" si="258"/>
        <v>357500000</v>
      </c>
      <c r="G339" s="147">
        <f t="shared" si="258"/>
        <v>1077000000</v>
      </c>
      <c r="H339" s="145">
        <f t="shared" si="258"/>
        <v>1022200000</v>
      </c>
      <c r="I339" s="148">
        <f t="shared" si="258"/>
        <v>208200000</v>
      </c>
      <c r="J339" s="148">
        <f t="shared" si="258"/>
        <v>146100000</v>
      </c>
      <c r="K339" s="148">
        <f t="shared" si="258"/>
        <v>438700000</v>
      </c>
      <c r="L339" s="145">
        <f t="shared" si="258"/>
        <v>487300000</v>
      </c>
      <c r="M339" s="145">
        <f t="shared" si="258"/>
        <v>301200000</v>
      </c>
      <c r="N339" s="145">
        <f t="shared" si="258"/>
        <v>17600000</v>
      </c>
      <c r="O339" s="145"/>
      <c r="P339" s="147">
        <f>P313</f>
        <v>134700000</v>
      </c>
      <c r="Q339" s="145">
        <f>Q313</f>
        <v>216900000</v>
      </c>
      <c r="R339" s="145">
        <f>R313</f>
        <v>177500000</v>
      </c>
      <c r="S339" s="149">
        <f>S313</f>
        <v>937700000</v>
      </c>
      <c r="T339" s="145">
        <f t="shared" si="258"/>
        <v>1231400000</v>
      </c>
      <c r="U339" s="145">
        <f t="shared" si="258"/>
        <v>606700000</v>
      </c>
      <c r="V339" s="145">
        <f t="shared" si="258"/>
        <v>21000000</v>
      </c>
      <c r="W339" s="145">
        <f t="shared" si="258"/>
        <v>7300000</v>
      </c>
      <c r="X339" s="145">
        <f t="shared" si="258"/>
        <v>502200000</v>
      </c>
      <c r="Y339" s="51"/>
      <c r="Z339" s="43" t="e">
        <f>#REF!/#REF!</f>
        <v>#REF!</v>
      </c>
      <c r="AA339" s="43"/>
      <c r="AB339" s="43"/>
      <c r="AC339" s="20"/>
    </row>
    <row r="340" spans="1:30" s="59" customFormat="1" ht="30" customHeight="1" x14ac:dyDescent="0.4">
      <c r="A340" s="170"/>
      <c r="B340" s="12" t="s">
        <v>39</v>
      </c>
      <c r="C340" s="52">
        <f>C338-C333</f>
        <v>1510996169</v>
      </c>
      <c r="D340" s="53">
        <f t="shared" ref="D340:X340" si="259">D338-D333</f>
        <v>39161800</v>
      </c>
      <c r="E340" s="52">
        <f t="shared" si="259"/>
        <v>-232318200</v>
      </c>
      <c r="F340" s="15">
        <f t="shared" si="259"/>
        <v>302642900</v>
      </c>
      <c r="G340" s="16">
        <f t="shared" si="259"/>
        <v>1071453220</v>
      </c>
      <c r="H340" s="15">
        <f t="shared" si="259"/>
        <v>736291700</v>
      </c>
      <c r="I340" s="52">
        <f t="shared" si="259"/>
        <v>-288441800</v>
      </c>
      <c r="J340" s="52">
        <f t="shared" si="259"/>
        <v>-5273000</v>
      </c>
      <c r="K340" s="56" t="e">
        <f t="shared" si="259"/>
        <v>#REF!</v>
      </c>
      <c r="L340" s="52">
        <f t="shared" si="259"/>
        <v>-7222000</v>
      </c>
      <c r="M340" s="52">
        <f t="shared" si="259"/>
        <v>-50995081</v>
      </c>
      <c r="N340" s="52">
        <f t="shared" si="259"/>
        <v>-2229000</v>
      </c>
      <c r="O340" s="15"/>
      <c r="P340" s="16">
        <f>P338-P333</f>
        <v>151580000</v>
      </c>
      <c r="Q340" s="56">
        <f>Q338-Q333</f>
        <v>-653998600</v>
      </c>
      <c r="R340" s="56">
        <f>R338-R333</f>
        <v>0</v>
      </c>
      <c r="S340" s="56">
        <f>S338-S333</f>
        <v>262981000</v>
      </c>
      <c r="T340" s="56">
        <f t="shared" si="259"/>
        <v>281374200</v>
      </c>
      <c r="U340" s="56">
        <f t="shared" si="259"/>
        <v>0</v>
      </c>
      <c r="V340" s="56">
        <f t="shared" si="259"/>
        <v>0</v>
      </c>
      <c r="W340" s="56">
        <f t="shared" si="259"/>
        <v>0</v>
      </c>
      <c r="X340" s="15">
        <f t="shared" si="259"/>
        <v>416079030</v>
      </c>
      <c r="Y340" s="18"/>
      <c r="Z340" s="58"/>
      <c r="AA340" s="58"/>
      <c r="AB340" s="58"/>
    </row>
    <row r="341" spans="1:30" s="20" customFormat="1" ht="30" customHeight="1" x14ac:dyDescent="0.4">
      <c r="A341" s="170"/>
      <c r="B341" s="21" t="s">
        <v>40</v>
      </c>
      <c r="C341" s="60">
        <f>IFERROR(C338/C333,0)</f>
        <v>1.3866151324361042</v>
      </c>
      <c r="D341" s="61">
        <f t="shared" ref="D341:X341" si="260">IFERROR(D338/D333,0)</f>
        <v>1.1140313228131946</v>
      </c>
      <c r="E341" s="60">
        <f t="shared" si="260"/>
        <v>0.64354449506578715</v>
      </c>
      <c r="F341" s="62">
        <f t="shared" si="260"/>
        <v>0</v>
      </c>
      <c r="G341" s="63">
        <f t="shared" si="260"/>
        <v>0</v>
      </c>
      <c r="H341" s="62">
        <f t="shared" si="260"/>
        <v>0</v>
      </c>
      <c r="I341" s="60">
        <f t="shared" si="260"/>
        <v>0</v>
      </c>
      <c r="J341" s="60">
        <f t="shared" si="260"/>
        <v>0</v>
      </c>
      <c r="K341" s="64">
        <f t="shared" si="260"/>
        <v>0</v>
      </c>
      <c r="L341" s="60">
        <f t="shared" si="260"/>
        <v>0.95906313414730926</v>
      </c>
      <c r="M341" s="60">
        <f t="shared" si="260"/>
        <v>0.71126513739443176</v>
      </c>
      <c r="N341" s="60">
        <f t="shared" si="260"/>
        <v>0.91402784741774978</v>
      </c>
      <c r="O341" s="62"/>
      <c r="P341" s="63">
        <f>IFERROR(P338/P333,0)</f>
        <v>0</v>
      </c>
      <c r="Q341" s="64">
        <f>IFERROR(Q338/Q333,0)</f>
        <v>8.0678834898915992E-3</v>
      </c>
      <c r="R341" s="64">
        <f>IFERROR(R338/R333,0)</f>
        <v>0</v>
      </c>
      <c r="S341" s="64">
        <f>IFERROR(S338/S333,0)</f>
        <v>1.5898974446398451</v>
      </c>
      <c r="T341" s="64">
        <f t="shared" si="260"/>
        <v>1.4779725176274896</v>
      </c>
      <c r="U341" s="64">
        <f t="shared" si="260"/>
        <v>0</v>
      </c>
      <c r="V341" s="64">
        <f t="shared" si="260"/>
        <v>0</v>
      </c>
      <c r="W341" s="64">
        <f t="shared" si="260"/>
        <v>0</v>
      </c>
      <c r="X341" s="62">
        <f t="shared" si="260"/>
        <v>0</v>
      </c>
      <c r="Y341" s="65"/>
      <c r="Z341" s="19"/>
      <c r="AA341" s="19"/>
      <c r="AB341" s="19"/>
    </row>
    <row r="342" spans="1:30" s="59" customFormat="1" ht="30" customHeight="1" x14ac:dyDescent="0.4">
      <c r="A342" s="170"/>
      <c r="B342" s="21" t="s">
        <v>41</v>
      </c>
      <c r="C342" s="66">
        <f>C338-C334</f>
        <v>4091009769</v>
      </c>
      <c r="D342" s="67">
        <f t="shared" ref="D342:X342" si="261">D338-D334</f>
        <v>292374000</v>
      </c>
      <c r="E342" s="66">
        <f t="shared" si="261"/>
        <v>301761900</v>
      </c>
      <c r="F342" s="66">
        <f t="shared" si="261"/>
        <v>178042900</v>
      </c>
      <c r="G342" s="24">
        <f t="shared" si="261"/>
        <v>1071453220</v>
      </c>
      <c r="H342" s="25">
        <f t="shared" si="261"/>
        <v>736291700</v>
      </c>
      <c r="I342" s="66">
        <f t="shared" si="261"/>
        <v>-80500800</v>
      </c>
      <c r="J342" s="25">
        <f t="shared" si="261"/>
        <v>0</v>
      </c>
      <c r="K342" s="70" t="e">
        <f t="shared" si="261"/>
        <v>#REF!</v>
      </c>
      <c r="L342" s="66">
        <f t="shared" si="261"/>
        <v>96923000</v>
      </c>
      <c r="M342" s="66">
        <f t="shared" si="261"/>
        <v>6093019</v>
      </c>
      <c r="N342" s="66">
        <f t="shared" si="261"/>
        <v>19887000</v>
      </c>
      <c r="O342" s="25"/>
      <c r="P342" s="72">
        <f>P338-P334</f>
        <v>61611000</v>
      </c>
      <c r="Q342" s="70">
        <f>Q338-Q334</f>
        <v>-39331700</v>
      </c>
      <c r="R342" s="70">
        <f>R338-R334</f>
        <v>0</v>
      </c>
      <c r="S342" s="70">
        <f>S338-S334</f>
        <v>428612000</v>
      </c>
      <c r="T342" s="70">
        <f t="shared" si="261"/>
        <v>611342500</v>
      </c>
      <c r="U342" s="70">
        <f t="shared" si="261"/>
        <v>0</v>
      </c>
      <c r="V342" s="70">
        <f t="shared" si="261"/>
        <v>0</v>
      </c>
      <c r="W342" s="70">
        <f t="shared" si="261"/>
        <v>0</v>
      </c>
      <c r="X342" s="25">
        <f t="shared" si="261"/>
        <v>416079030</v>
      </c>
      <c r="Y342" s="150"/>
      <c r="Z342" s="58"/>
      <c r="AA342" s="58"/>
      <c r="AB342" s="58"/>
    </row>
    <row r="343" spans="1:30" s="20" customFormat="1" ht="30" customHeight="1" x14ac:dyDescent="0.4">
      <c r="A343" s="170"/>
      <c r="B343" s="21" t="s">
        <v>42</v>
      </c>
      <c r="C343" s="60">
        <f>IFERROR(C338/C334,0)</f>
        <v>4.0799859131071115</v>
      </c>
      <c r="D343" s="61">
        <f t="shared" ref="D343:X343" si="262">IFERROR(D338/D334,0)</f>
        <v>4.2407501828903325</v>
      </c>
      <c r="E343" s="60">
        <f t="shared" si="262"/>
        <v>3.5645806916573464</v>
      </c>
      <c r="F343" s="60">
        <f t="shared" si="262"/>
        <v>2.4289157303370787</v>
      </c>
      <c r="G343" s="63">
        <f t="shared" si="262"/>
        <v>0</v>
      </c>
      <c r="H343" s="62">
        <f t="shared" si="262"/>
        <v>0</v>
      </c>
      <c r="I343" s="60">
        <f t="shared" si="262"/>
        <v>0</v>
      </c>
      <c r="J343" s="62">
        <f t="shared" si="262"/>
        <v>0</v>
      </c>
      <c r="K343" s="64">
        <f t="shared" si="262"/>
        <v>0</v>
      </c>
      <c r="L343" s="60">
        <f t="shared" si="262"/>
        <v>2.3410678953412756</v>
      </c>
      <c r="M343" s="60">
        <f t="shared" si="262"/>
        <v>1.0509758758444709</v>
      </c>
      <c r="N343" s="60">
        <f t="shared" si="262"/>
        <v>6.218315402781422</v>
      </c>
      <c r="O343" s="62"/>
      <c r="P343" s="74">
        <f>IFERROR(P338/P334,0)</f>
        <v>1.6848025430981783</v>
      </c>
      <c r="Q343" s="64">
        <f>IFERROR(Q338/Q334,0)</f>
        <v>0.11913059058027815</v>
      </c>
      <c r="R343" s="64">
        <f>IFERROR(R338/R334,0)</f>
        <v>0</v>
      </c>
      <c r="S343" s="64">
        <f>IFERROR(S338/S334,0)</f>
        <v>2.5297900969744127</v>
      </c>
      <c r="T343" s="64">
        <f t="shared" si="262"/>
        <v>3.3630005276086186</v>
      </c>
      <c r="U343" s="64">
        <f t="shared" si="262"/>
        <v>0</v>
      </c>
      <c r="V343" s="64">
        <f t="shared" si="262"/>
        <v>0</v>
      </c>
      <c r="W343" s="64">
        <f t="shared" si="262"/>
        <v>0</v>
      </c>
      <c r="X343" s="62">
        <f t="shared" si="262"/>
        <v>0</v>
      </c>
      <c r="Y343" s="65"/>
      <c r="Z343" s="19"/>
      <c r="AA343" s="19"/>
      <c r="AB343" s="19"/>
    </row>
    <row r="344" spans="1:30" s="59" customFormat="1" ht="30" customHeight="1" x14ac:dyDescent="0.4">
      <c r="A344" s="170"/>
      <c r="B344" s="21" t="s">
        <v>43</v>
      </c>
      <c r="C344" s="66">
        <f>C338-C335</f>
        <v>3710897817</v>
      </c>
      <c r="D344" s="67">
        <f t="shared" ref="D344:X344" si="263">D338-D335</f>
        <v>308245000</v>
      </c>
      <c r="E344" s="66">
        <f t="shared" si="263"/>
        <v>306755600</v>
      </c>
      <c r="F344" s="66">
        <f t="shared" si="263"/>
        <v>230883900</v>
      </c>
      <c r="G344" s="71">
        <f t="shared" si="263"/>
        <v>879144320</v>
      </c>
      <c r="H344" s="25">
        <f t="shared" si="263"/>
        <v>736291700</v>
      </c>
      <c r="I344" s="66">
        <f t="shared" si="263"/>
        <v>-100232600</v>
      </c>
      <c r="J344" s="25">
        <f t="shared" si="263"/>
        <v>0</v>
      </c>
      <c r="K344" s="25" t="e">
        <f t="shared" si="263"/>
        <v>#REF!</v>
      </c>
      <c r="L344" s="66">
        <f t="shared" si="263"/>
        <v>51591000</v>
      </c>
      <c r="M344" s="66">
        <f t="shared" si="263"/>
        <v>-10478681</v>
      </c>
      <c r="N344" s="66">
        <f t="shared" si="263"/>
        <v>4064000</v>
      </c>
      <c r="O344" s="25"/>
      <c r="P344" s="72">
        <f>P338-P335</f>
        <v>45623000</v>
      </c>
      <c r="Q344" s="70">
        <f>Q338-Q335</f>
        <v>-128406700</v>
      </c>
      <c r="R344" s="70">
        <f>R338-R335</f>
        <v>0</v>
      </c>
      <c r="S344" s="70">
        <f>S338-S335</f>
        <v>358500000</v>
      </c>
      <c r="T344" s="70">
        <f t="shared" si="263"/>
        <v>576318248</v>
      </c>
      <c r="U344" s="70">
        <f t="shared" si="263"/>
        <v>0</v>
      </c>
      <c r="V344" s="70">
        <f t="shared" si="263"/>
        <v>0</v>
      </c>
      <c r="W344" s="70">
        <f t="shared" si="263"/>
        <v>0</v>
      </c>
      <c r="X344" s="25">
        <f t="shared" si="263"/>
        <v>416079030</v>
      </c>
      <c r="Y344" s="150"/>
      <c r="Z344" s="58"/>
      <c r="AA344" s="58"/>
      <c r="AB344" s="58"/>
    </row>
    <row r="345" spans="1:30" s="20" customFormat="1" ht="30" customHeight="1" x14ac:dyDescent="0.4">
      <c r="A345" s="170"/>
      <c r="B345" s="21" t="s">
        <v>44</v>
      </c>
      <c r="C345" s="60">
        <f>IFERROR(C338/C335,0)</f>
        <v>3.1721888499814237</v>
      </c>
      <c r="D345" s="61">
        <f t="shared" ref="D345:X345" si="264">IFERROR(D338/D335,0)</f>
        <v>5.146031447133038</v>
      </c>
      <c r="E345" s="60">
        <f t="shared" si="264"/>
        <v>3.7225660437643948</v>
      </c>
      <c r="F345" s="60">
        <f t="shared" si="264"/>
        <v>4.2174904889978961</v>
      </c>
      <c r="G345" s="73">
        <f t="shared" si="264"/>
        <v>5.5715217548433795</v>
      </c>
      <c r="H345" s="62">
        <f t="shared" si="264"/>
        <v>0</v>
      </c>
      <c r="I345" s="60">
        <f t="shared" si="264"/>
        <v>0</v>
      </c>
      <c r="J345" s="62">
        <f t="shared" si="264"/>
        <v>0</v>
      </c>
      <c r="K345" s="62">
        <f t="shared" si="264"/>
        <v>0</v>
      </c>
      <c r="L345" s="60">
        <f t="shared" si="264"/>
        <v>1.4386803282173377</v>
      </c>
      <c r="M345" s="60">
        <f t="shared" si="264"/>
        <v>0.92300703457478073</v>
      </c>
      <c r="N345" s="60">
        <f t="shared" si="264"/>
        <v>1.2069878781705206</v>
      </c>
      <c r="O345" s="62"/>
      <c r="P345" s="74">
        <f>IFERROR(P338/P335,0)</f>
        <v>1.4305803297564106</v>
      </c>
      <c r="Q345" s="64">
        <f>IFERROR(Q338/Q335,0)</f>
        <v>3.9777604953412204E-2</v>
      </c>
      <c r="R345" s="64">
        <f>IFERROR(R338/R335,0)</f>
        <v>0</v>
      </c>
      <c r="S345" s="64">
        <f>IFERROR(S338/S335,0)</f>
        <v>2.0234406447247846</v>
      </c>
      <c r="T345" s="64">
        <f t="shared" si="264"/>
        <v>2.9620095887109916</v>
      </c>
      <c r="U345" s="64">
        <f t="shared" si="264"/>
        <v>0</v>
      </c>
      <c r="V345" s="64">
        <f t="shared" si="264"/>
        <v>0</v>
      </c>
      <c r="W345" s="64">
        <f t="shared" si="264"/>
        <v>0</v>
      </c>
      <c r="X345" s="62">
        <f t="shared" si="264"/>
        <v>0</v>
      </c>
      <c r="Y345" s="65"/>
      <c r="Z345" s="19"/>
      <c r="AA345" s="19"/>
      <c r="AB345" s="19"/>
    </row>
    <row r="346" spans="1:30" s="59" customFormat="1" ht="30" customHeight="1" x14ac:dyDescent="0.4">
      <c r="A346" s="170"/>
      <c r="B346" s="21" t="s">
        <v>45</v>
      </c>
      <c r="C346" s="66">
        <f>C338-C336</f>
        <v>113164212.5</v>
      </c>
      <c r="D346" s="67">
        <f t="shared" ref="D346:X346" si="265">D338-D336</f>
        <v>-24289400</v>
      </c>
      <c r="E346" s="66">
        <f t="shared" si="265"/>
        <v>-82599900</v>
      </c>
      <c r="F346" s="66">
        <f t="shared" si="265"/>
        <v>-146257600</v>
      </c>
      <c r="G346" s="71">
        <f t="shared" si="265"/>
        <v>-355926980</v>
      </c>
      <c r="H346" s="25">
        <f t="shared" si="265"/>
        <v>736291700</v>
      </c>
      <c r="I346" s="66">
        <f t="shared" si="265"/>
        <v>-957000</v>
      </c>
      <c r="J346" s="25">
        <f t="shared" si="265"/>
        <v>0</v>
      </c>
      <c r="K346" s="25" t="e">
        <f t="shared" si="265"/>
        <v>#REF!</v>
      </c>
      <c r="L346" s="66">
        <f t="shared" si="265"/>
        <v>-53944000</v>
      </c>
      <c r="M346" s="66">
        <f t="shared" si="265"/>
        <v>-53064481</v>
      </c>
      <c r="N346" s="66">
        <f t="shared" si="265"/>
        <v>-8869219.5</v>
      </c>
      <c r="O346" s="25"/>
      <c r="P346" s="72">
        <f>P338-P336</f>
        <v>-43098000</v>
      </c>
      <c r="Q346" s="66">
        <f>Q338-Q336</f>
        <v>-423771600</v>
      </c>
      <c r="R346" s="66">
        <f>R338-R336</f>
        <v>0</v>
      </c>
      <c r="S346" s="70">
        <f>S338-S336</f>
        <v>39042011</v>
      </c>
      <c r="T346" s="66">
        <f t="shared" si="265"/>
        <v>78009652</v>
      </c>
      <c r="U346" s="66">
        <f t="shared" si="265"/>
        <v>0</v>
      </c>
      <c r="V346" s="66">
        <f t="shared" si="265"/>
        <v>0</v>
      </c>
      <c r="W346" s="66">
        <f t="shared" si="265"/>
        <v>0</v>
      </c>
      <c r="X346" s="25">
        <f t="shared" si="265"/>
        <v>416079030</v>
      </c>
      <c r="Y346" s="150"/>
      <c r="Z346" s="58"/>
      <c r="AA346" s="58"/>
      <c r="AB346" s="58"/>
    </row>
    <row r="347" spans="1:30" s="20" customFormat="1" ht="30" customHeight="1" x14ac:dyDescent="0.4">
      <c r="A347" s="170"/>
      <c r="B347" s="21" t="s">
        <v>46</v>
      </c>
      <c r="C347" s="60">
        <f>IFERROR(C338/C336,0)</f>
        <v>1.0213271855608141</v>
      </c>
      <c r="D347" s="61">
        <f t="shared" ref="D347:X347" si="266">IFERROR(D338/D336,0)</f>
        <v>0.94030348892822335</v>
      </c>
      <c r="E347" s="60">
        <f t="shared" si="266"/>
        <v>0.83546721590671413</v>
      </c>
      <c r="F347" s="60">
        <f t="shared" si="266"/>
        <v>0.67418704144905162</v>
      </c>
      <c r="G347" s="73">
        <f t="shared" si="266"/>
        <v>0.75064318532651642</v>
      </c>
      <c r="H347" s="62">
        <f t="shared" si="266"/>
        <v>0</v>
      </c>
      <c r="I347" s="60">
        <f t="shared" si="266"/>
        <v>0</v>
      </c>
      <c r="J347" s="62">
        <f t="shared" si="266"/>
        <v>0</v>
      </c>
      <c r="K347" s="62">
        <f t="shared" si="266"/>
        <v>0</v>
      </c>
      <c r="L347" s="60">
        <f t="shared" si="266"/>
        <v>0.75825042574168688</v>
      </c>
      <c r="M347" s="60">
        <f t="shared" si="266"/>
        <v>0.70302778073145478</v>
      </c>
      <c r="N347" s="60">
        <f t="shared" si="266"/>
        <v>0.72766420848423985</v>
      </c>
      <c r="O347" s="62"/>
      <c r="P347" s="74">
        <f>IFERROR(P338/P336,0)</f>
        <v>0.77861905300033907</v>
      </c>
      <c r="Q347" s="60">
        <f>IFERROR(Q338/Q336,0)</f>
        <v>1.2396673991454957E-2</v>
      </c>
      <c r="R347" s="60">
        <f>IFERROR(R338/R336,0)</f>
        <v>0</v>
      </c>
      <c r="S347" s="64">
        <f>IFERROR(S338/S336,0)</f>
        <v>1.0582936715524376</v>
      </c>
      <c r="T347" s="60">
        <f t="shared" si="266"/>
        <v>1.0984911472741905</v>
      </c>
      <c r="U347" s="60">
        <f t="shared" si="266"/>
        <v>0</v>
      </c>
      <c r="V347" s="60">
        <f t="shared" si="266"/>
        <v>0</v>
      </c>
      <c r="W347" s="60">
        <f t="shared" si="266"/>
        <v>0</v>
      </c>
      <c r="X347" s="62">
        <f t="shared" si="266"/>
        <v>0</v>
      </c>
      <c r="Y347" s="65"/>
      <c r="Z347" s="19"/>
      <c r="AA347" s="19"/>
      <c r="AB347" s="19"/>
    </row>
    <row r="348" spans="1:30" s="59" customFormat="1" ht="30" customHeight="1" x14ac:dyDescent="0.4">
      <c r="A348" s="170"/>
      <c r="B348" s="21" t="s">
        <v>47</v>
      </c>
      <c r="C348" s="66">
        <f>C338-C337</f>
        <v>-292688740</v>
      </c>
      <c r="D348" s="67">
        <f t="shared" ref="D348:X348" si="267">D338-D337</f>
        <v>-48930000</v>
      </c>
      <c r="E348" s="66">
        <f t="shared" si="267"/>
        <v>-102493209</v>
      </c>
      <c r="F348" s="66">
        <f t="shared" si="267"/>
        <v>-115360950</v>
      </c>
      <c r="G348" s="71">
        <f t="shared" si="267"/>
        <v>-102524600</v>
      </c>
      <c r="H348" s="22">
        <f t="shared" si="267"/>
        <v>138859770</v>
      </c>
      <c r="I348" s="69">
        <f t="shared" si="267"/>
        <v>0</v>
      </c>
      <c r="J348" s="25">
        <f t="shared" si="267"/>
        <v>0</v>
      </c>
      <c r="K348" s="25" t="e">
        <f t="shared" si="267"/>
        <v>#REF!</v>
      </c>
      <c r="L348" s="66">
        <f t="shared" si="267"/>
        <v>-44229000</v>
      </c>
      <c r="M348" s="66">
        <f t="shared" si="267"/>
        <v>-11459981</v>
      </c>
      <c r="N348" s="66">
        <f t="shared" si="267"/>
        <v>-4590040</v>
      </c>
      <c r="O348" s="22"/>
      <c r="P348" s="71">
        <f>P338-P337</f>
        <v>-56983000</v>
      </c>
      <c r="Q348" s="66">
        <f>Q338-Q337</f>
        <v>-202522890</v>
      </c>
      <c r="R348" s="66">
        <f>R338-R337</f>
        <v>0</v>
      </c>
      <c r="S348" s="70">
        <f>S338-S337</f>
        <v>-6729000</v>
      </c>
      <c r="T348" s="66">
        <f t="shared" si="267"/>
        <v>-168550000</v>
      </c>
      <c r="U348" s="66">
        <f t="shared" si="267"/>
        <v>0</v>
      </c>
      <c r="V348" s="66">
        <f t="shared" si="267"/>
        <v>0</v>
      </c>
      <c r="W348" s="66">
        <f t="shared" si="267"/>
        <v>0</v>
      </c>
      <c r="X348" s="22">
        <f t="shared" si="267"/>
        <v>396304160</v>
      </c>
      <c r="Y348" s="150"/>
      <c r="Z348" s="58"/>
      <c r="AA348" s="58"/>
      <c r="AB348" s="58"/>
    </row>
    <row r="349" spans="1:30" s="20" customFormat="1" ht="30" customHeight="1" x14ac:dyDescent="0.4">
      <c r="A349" s="170"/>
      <c r="B349" s="21" t="s">
        <v>48</v>
      </c>
      <c r="C349" s="60">
        <f>IFERROR(C338/C337,0)</f>
        <v>0.94875856599718589</v>
      </c>
      <c r="D349" s="61">
        <f t="shared" ref="D349:X349" si="268">IFERROR(D338/D337,0)</f>
        <v>0.8866106478928073</v>
      </c>
      <c r="E349" s="60">
        <f t="shared" si="268"/>
        <v>0.80362287645717956</v>
      </c>
      <c r="F349" s="60">
        <f t="shared" si="268"/>
        <v>0.7240194079552138</v>
      </c>
      <c r="G349" s="73">
        <f t="shared" si="268"/>
        <v>0.91266904855153053</v>
      </c>
      <c r="H349" s="60">
        <f t="shared" si="268"/>
        <v>1.2324277679634565</v>
      </c>
      <c r="I349" s="62">
        <f t="shared" si="268"/>
        <v>0</v>
      </c>
      <c r="J349" s="62">
        <f t="shared" si="268"/>
        <v>0</v>
      </c>
      <c r="K349" s="62">
        <f t="shared" si="268"/>
        <v>0</v>
      </c>
      <c r="L349" s="60">
        <f t="shared" si="268"/>
        <v>0.79276560852758582</v>
      </c>
      <c r="M349" s="60">
        <f t="shared" si="268"/>
        <v>0.91639962649683948</v>
      </c>
      <c r="N349" s="60">
        <f t="shared" si="268"/>
        <v>0.83773920002941171</v>
      </c>
      <c r="O349" s="60"/>
      <c r="P349" s="73">
        <f>IFERROR(P338/P337,0)</f>
        <v>0.72678279464718099</v>
      </c>
      <c r="Q349" s="60">
        <f>IFERROR(Q338/Q337,0)</f>
        <v>2.5592975131757418E-2</v>
      </c>
      <c r="R349" s="60">
        <f>IFERROR(R338/R337,0)</f>
        <v>0</v>
      </c>
      <c r="S349" s="64">
        <f>IFERROR(S338/S337,0)</f>
        <v>0.9905956244287355</v>
      </c>
      <c r="T349" s="60">
        <f t="shared" si="268"/>
        <v>0.83771532446825414</v>
      </c>
      <c r="U349" s="60">
        <f t="shared" si="268"/>
        <v>0</v>
      </c>
      <c r="V349" s="60">
        <f t="shared" si="268"/>
        <v>0</v>
      </c>
      <c r="W349" s="60">
        <f t="shared" si="268"/>
        <v>0</v>
      </c>
      <c r="X349" s="60">
        <f t="shared" si="268"/>
        <v>21.040797234065256</v>
      </c>
      <c r="Y349" s="65"/>
      <c r="Z349" s="19"/>
      <c r="AA349" s="19"/>
      <c r="AB349" s="19"/>
    </row>
    <row r="350" spans="1:30" s="59" customFormat="1" ht="30" customHeight="1" x14ac:dyDescent="0.4">
      <c r="A350" s="170"/>
      <c r="B350" s="108" t="s">
        <v>49</v>
      </c>
      <c r="C350" s="151">
        <f>C338-C339</f>
        <v>-3230134231</v>
      </c>
      <c r="D350" s="152">
        <f t="shared" ref="D350:X350" si="269">D338-D339</f>
        <v>3892000</v>
      </c>
      <c r="E350" s="151">
        <f t="shared" si="269"/>
        <v>51727100</v>
      </c>
      <c r="F350" s="151">
        <f t="shared" si="269"/>
        <v>-54857100</v>
      </c>
      <c r="G350" s="153">
        <f t="shared" si="269"/>
        <v>-5546780</v>
      </c>
      <c r="H350" s="137">
        <f t="shared" si="269"/>
        <v>-285908300</v>
      </c>
      <c r="I350" s="154">
        <f t="shared" si="269"/>
        <v>-208200000</v>
      </c>
      <c r="J350" s="140">
        <f t="shared" si="269"/>
        <v>-146100000</v>
      </c>
      <c r="K350" s="140" t="e">
        <f t="shared" si="269"/>
        <v>#REF!</v>
      </c>
      <c r="L350" s="151">
        <f t="shared" si="269"/>
        <v>-318104000</v>
      </c>
      <c r="M350" s="151">
        <f t="shared" si="269"/>
        <v>-175579481</v>
      </c>
      <c r="N350" s="151">
        <f t="shared" si="269"/>
        <v>6098000</v>
      </c>
      <c r="O350" s="137"/>
      <c r="P350" s="153">
        <f>P338-P339</f>
        <v>16880000</v>
      </c>
      <c r="Q350" s="151">
        <f>Q338-Q339</f>
        <v>-211580700</v>
      </c>
      <c r="R350" s="151">
        <f>R338-R339</f>
        <v>-177500000</v>
      </c>
      <c r="S350" s="155">
        <f>S338-S339</f>
        <v>-228911000</v>
      </c>
      <c r="T350" s="151">
        <f t="shared" si="269"/>
        <v>-361343000</v>
      </c>
      <c r="U350" s="151">
        <f t="shared" si="269"/>
        <v>-606700000</v>
      </c>
      <c r="V350" s="151">
        <f t="shared" si="269"/>
        <v>-21000000</v>
      </c>
      <c r="W350" s="151">
        <f t="shared" si="269"/>
        <v>-7300000</v>
      </c>
      <c r="X350" s="137">
        <f t="shared" si="269"/>
        <v>-86120970</v>
      </c>
      <c r="Y350" s="156"/>
      <c r="Z350" s="58"/>
      <c r="AA350" s="58"/>
      <c r="AB350" s="58"/>
    </row>
    <row r="351" spans="1:30" s="20" customFormat="1" ht="30" customHeight="1" thickBot="1" x14ac:dyDescent="0.45">
      <c r="A351" s="171"/>
      <c r="B351" s="157" t="s">
        <v>50</v>
      </c>
      <c r="C351" s="158">
        <f>IFERROR(C338/C339,0)</f>
        <v>0.62654817316808098</v>
      </c>
      <c r="D351" s="159">
        <f t="shared" ref="D351:X351" si="270">IFERROR(D338/D339,0)</f>
        <v>1.0102772643253235</v>
      </c>
      <c r="E351" s="158">
        <f t="shared" si="270"/>
        <v>1.1406774544465597</v>
      </c>
      <c r="F351" s="158">
        <f t="shared" si="270"/>
        <v>0.84655356643356638</v>
      </c>
      <c r="G351" s="160">
        <f t="shared" si="270"/>
        <v>0.99484978644382549</v>
      </c>
      <c r="H351" s="158">
        <f t="shared" si="270"/>
        <v>0.72030101741342201</v>
      </c>
      <c r="I351" s="161">
        <f t="shared" si="270"/>
        <v>0</v>
      </c>
      <c r="J351" s="161">
        <f t="shared" si="270"/>
        <v>0</v>
      </c>
      <c r="K351" s="161">
        <f t="shared" si="270"/>
        <v>0</v>
      </c>
      <c r="L351" s="158">
        <f t="shared" si="270"/>
        <v>0.34721116355427867</v>
      </c>
      <c r="M351" s="158">
        <f t="shared" si="270"/>
        <v>0.41706679614873837</v>
      </c>
      <c r="N351" s="158">
        <f t="shared" si="270"/>
        <v>1.3464772727272727</v>
      </c>
      <c r="O351" s="158"/>
      <c r="P351" s="160">
        <f>IFERROR(P338/P339,0)</f>
        <v>1.1253155159613957</v>
      </c>
      <c r="Q351" s="158">
        <f>IFERROR(Q338/Q339,0)</f>
        <v>2.4524204702627939E-2</v>
      </c>
      <c r="R351" s="158">
        <f>IFERROR(R338/R339,0)</f>
        <v>0</v>
      </c>
      <c r="S351" s="162">
        <f>IFERROR(S338/S339,0)</f>
        <v>0.75588034552628769</v>
      </c>
      <c r="T351" s="158">
        <f t="shared" si="270"/>
        <v>0.70655920090953384</v>
      </c>
      <c r="U351" s="158">
        <f t="shared" si="270"/>
        <v>0</v>
      </c>
      <c r="V351" s="158">
        <f t="shared" si="270"/>
        <v>0</v>
      </c>
      <c r="W351" s="158">
        <f t="shared" si="270"/>
        <v>0</v>
      </c>
      <c r="X351" s="158">
        <f t="shared" si="270"/>
        <v>0.82851260454002384</v>
      </c>
      <c r="Y351" s="163"/>
      <c r="Z351" s="19"/>
      <c r="AA351" s="19"/>
      <c r="AB351" s="19"/>
    </row>
    <row r="352" spans="1:30" s="1" customFormat="1" x14ac:dyDescent="0.4">
      <c r="A352"/>
      <c r="B352" s="1" t="s">
        <v>73</v>
      </c>
      <c r="C352"/>
      <c r="D352"/>
      <c r="E352"/>
      <c r="F352"/>
      <c r="G352" t="s">
        <v>74</v>
      </c>
      <c r="H352"/>
      <c r="I352"/>
      <c r="J352"/>
      <c r="K352"/>
      <c r="L352"/>
      <c r="M352"/>
      <c r="N352"/>
      <c r="Q352"/>
      <c r="R352"/>
      <c r="S352"/>
      <c r="T352"/>
      <c r="U352"/>
      <c r="V352"/>
      <c r="W352"/>
      <c r="X352" t="s">
        <v>74</v>
      </c>
      <c r="Y352"/>
      <c r="Z352"/>
      <c r="AA352"/>
      <c r="AB352"/>
      <c r="AD352"/>
    </row>
    <row r="353" spans="1:30" s="1" customFormat="1" x14ac:dyDescent="0.4">
      <c r="A353"/>
      <c r="B353" s="1" t="s">
        <v>75</v>
      </c>
      <c r="C353"/>
      <c r="D353"/>
      <c r="E353"/>
      <c r="F353"/>
      <c r="G353" s="125">
        <f>1300000000</f>
        <v>1300000000</v>
      </c>
      <c r="H353"/>
      <c r="I353"/>
      <c r="J353"/>
      <c r="K353"/>
      <c r="L353"/>
      <c r="M353"/>
      <c r="N353"/>
      <c r="Q353"/>
      <c r="R353"/>
      <c r="S353"/>
      <c r="T353"/>
      <c r="U353"/>
      <c r="V353"/>
      <c r="W353"/>
      <c r="X353" s="164">
        <v>200000000</v>
      </c>
      <c r="Y353"/>
      <c r="Z353"/>
      <c r="AA353"/>
      <c r="AB353"/>
      <c r="AD353"/>
    </row>
    <row r="354" spans="1:30" s="1" customFormat="1" x14ac:dyDescent="0.4">
      <c r="A354"/>
      <c r="B354" s="1" t="s">
        <v>76</v>
      </c>
      <c r="C354"/>
      <c r="D354"/>
      <c r="E354"/>
      <c r="F354"/>
      <c r="G354" s="164">
        <f>G313-G353</f>
        <v>-223000000</v>
      </c>
      <c r="H354"/>
      <c r="I354"/>
      <c r="J354"/>
      <c r="K354"/>
      <c r="L354"/>
      <c r="M354"/>
      <c r="N354"/>
      <c r="Q354"/>
      <c r="R354"/>
      <c r="S354"/>
      <c r="T354"/>
      <c r="U354"/>
      <c r="V354"/>
      <c r="W354"/>
      <c r="X354" s="164">
        <f>Q313+X313-X353</f>
        <v>519100000</v>
      </c>
      <c r="Y354"/>
      <c r="Z354"/>
      <c r="AA354"/>
      <c r="AB354"/>
      <c r="AD354"/>
    </row>
    <row r="355" spans="1:30" s="1" customFormat="1" x14ac:dyDescent="0.4">
      <c r="A355"/>
      <c r="B355" s="1" t="s">
        <v>77</v>
      </c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D355"/>
    </row>
    <row r="356" spans="1:30" s="1" customFormat="1" x14ac:dyDescent="0.4">
      <c r="A356"/>
      <c r="B356" s="165"/>
      <c r="C356"/>
      <c r="D356"/>
      <c r="E356"/>
      <c r="F356"/>
      <c r="G356"/>
      <c r="H356"/>
      <c r="I356"/>
      <c r="J356"/>
      <c r="K356"/>
      <c r="L356" s="164">
        <f>L313*11%</f>
        <v>53603000</v>
      </c>
      <c r="M356" s="164">
        <f>M313*15%</f>
        <v>45180000</v>
      </c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D356"/>
    </row>
    <row r="357" spans="1:30" s="1" customFormat="1" x14ac:dyDescent="0.4">
      <c r="A357"/>
      <c r="B357" s="165"/>
      <c r="C357" s="164">
        <f>SUM(C13,C38,C63,C88,C113,C138,C163,C188,C213)</f>
        <v>7268100000</v>
      </c>
      <c r="D357"/>
      <c r="E357"/>
      <c r="F357"/>
      <c r="G357"/>
      <c r="H357"/>
      <c r="I357"/>
      <c r="J357"/>
      <c r="K357"/>
      <c r="L357" s="166">
        <f>L356/1.1</f>
        <v>48729999.999999993</v>
      </c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D357"/>
    </row>
    <row r="358" spans="1:30" s="1" customFormat="1" x14ac:dyDescent="0.4">
      <c r="A358"/>
      <c r="C358" s="164">
        <v>5334100000</v>
      </c>
      <c r="D358"/>
      <c r="E358"/>
      <c r="F358"/>
      <c r="G358"/>
      <c r="H358"/>
      <c r="I358"/>
      <c r="J358"/>
      <c r="K358"/>
      <c r="L358" s="125">
        <v>300000000</v>
      </c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D358"/>
    </row>
    <row r="359" spans="1:30" s="1" customFormat="1" x14ac:dyDescent="0.4">
      <c r="A359"/>
      <c r="C359" s="164">
        <f>C357-C358</f>
        <v>1934000000</v>
      </c>
      <c r="D359"/>
      <c r="E359"/>
      <c r="F359"/>
      <c r="G359"/>
      <c r="H359"/>
      <c r="I359"/>
      <c r="J359"/>
      <c r="K359"/>
      <c r="L359" s="164">
        <f>L358*17%</f>
        <v>51000000</v>
      </c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D359"/>
    </row>
    <row r="360" spans="1:30" s="1" customFormat="1" x14ac:dyDescent="0.4">
      <c r="A360"/>
      <c r="C360" s="164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D360"/>
    </row>
    <row r="361" spans="1:30" s="1" customFormat="1" x14ac:dyDescent="0.4">
      <c r="A361"/>
      <c r="C361" s="164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D361"/>
    </row>
    <row r="362" spans="1:30" s="1" customFormat="1" x14ac:dyDescent="0.4">
      <c r="A362"/>
      <c r="C362" s="164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D362"/>
    </row>
    <row r="363" spans="1:30" s="1" customFormat="1" x14ac:dyDescent="0.4">
      <c r="A363"/>
      <c r="C363" s="164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D363"/>
    </row>
    <row r="364" spans="1:30" s="1" customFormat="1" x14ac:dyDescent="0.4">
      <c r="A364"/>
      <c r="C364" s="1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D364"/>
    </row>
    <row r="365" spans="1:30" s="1" customFormat="1" x14ac:dyDescent="0.4">
      <c r="A365"/>
      <c r="C365" s="164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D365"/>
    </row>
    <row r="366" spans="1:30" s="1" customFormat="1" x14ac:dyDescent="0.4">
      <c r="A366"/>
      <c r="C366" s="164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D366"/>
    </row>
    <row r="367" spans="1:30" x14ac:dyDescent="0.4">
      <c r="C367" s="164"/>
    </row>
    <row r="368" spans="1:30" x14ac:dyDescent="0.4">
      <c r="C368" s="164"/>
    </row>
  </sheetData>
  <mergeCells count="21">
    <mergeCell ref="A155:A179"/>
    <mergeCell ref="A1:Y1"/>
    <mergeCell ref="A3:A4"/>
    <mergeCell ref="B3:B4"/>
    <mergeCell ref="D3:X3"/>
    <mergeCell ref="Y3:Y4"/>
    <mergeCell ref="A5:A29"/>
    <mergeCell ref="A30:A54"/>
    <mergeCell ref="A55:A79"/>
    <mergeCell ref="A80:A104"/>
    <mergeCell ref="A105:A129"/>
    <mergeCell ref="A130:A154"/>
    <mergeCell ref="A330:B330"/>
    <mergeCell ref="A331:B331"/>
    <mergeCell ref="A333:A351"/>
    <mergeCell ref="A180:A204"/>
    <mergeCell ref="A205:A229"/>
    <mergeCell ref="A230:A254"/>
    <mergeCell ref="A255:A279"/>
    <mergeCell ref="A280:A304"/>
    <mergeCell ref="A305:A329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8" scale="36" fitToHeight="4" orientation="landscape" r:id="rId1"/>
  <rowBreaks count="4" manualBreakCount="4">
    <brk id="79" max="28" man="1"/>
    <brk id="154" max="27" man="1"/>
    <brk id="229" max="27" man="1"/>
    <brk id="304" max="2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26년 월별 매출(사업계획)_1</vt:lpstr>
      <vt:lpstr>'26년 월별 매출(사업계획)_1'!Print_Area</vt:lpstr>
      <vt:lpstr>'26년 월별 매출(사업계획)_1'!Print_Titles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TAESOO KIM</dc:creator>
  <cp:lastModifiedBy>TAESOO KIM</cp:lastModifiedBy>
  <dcterms:created xsi:type="dcterms:W3CDTF">2026-09-11T02:07:18Z</dcterms:created>
  <dcterms:modified xsi:type="dcterms:W3CDTF">2026-10-07T10:19:11Z</dcterms:modified>
</cp:coreProperties>
</file>